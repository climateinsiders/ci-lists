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Start here" sheetId="1" r:id="rId1"/>
    <sheet name="Europe" sheetId="2" r:id="rId2"/>
    <sheet name="Pipeline" sheetId="3" r:id="rId3"/>
  </sheets>
  <definedNames>
    <definedName name="_xlnm._FilterDatabase" localSheetId="1" hidden="1">'Europe'!$A$4:$M$66</definedName>
    <definedName name="_xlnm.Print_Titles" localSheetId="1">'Europe'!$4:$4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d mmm yyyy"/>
  </numFmts>
  <fonts count="39">
    <font>
      <sz val="10"/>
      <color rgb="FF1F1B16"/>
      <name val="Arial"/>
      <family val="2"/>
    </font>
    <font>
      <b/>
      <sz val="20"/>
      <color rgb="FFFFFFFF"/>
      <name val="Georgia"/>
      <family val="2"/>
    </font>
    <font>
      <sz val="10"/>
      <color rgb="FFFFB27A"/>
      <name val="Arial"/>
      <family val="2"/>
    </font>
    <font>
      <b/>
      <sz val="10"/>
      <color rgb="FF1F1B16"/>
      <name val="Arial"/>
      <family val="2"/>
    </font>
    <font>
      <sz val="9"/>
      <color rgb="FF7A7266"/>
      <name val="Arial"/>
      <family val="2"/>
    </font>
    <font>
      <sz val="10"/>
      <color rgb="FF3B3630"/>
      <name val="Arial"/>
      <family val="2"/>
    </font>
    <font>
      <b/>
      <sz val="9"/>
      <color rgb="FFA84A00"/>
      <name val="Arial"/>
      <family val="2"/>
    </font>
    <font>
      <u/>
      <sz val="10"/>
      <color rgb="FFE8690F"/>
      <name val="Arial"/>
      <family val="2"/>
    </font>
    <font>
      <b/>
      <u/>
      <sz val="9"/>
      <color rgb="FF0A66C2"/>
      <name val="Arial"/>
      <family val="2"/>
    </font>
    <font>
      <sz val="10"/>
      <color rgb="FFE8690F"/>
      <name val="Arial"/>
      <family val="2"/>
    </font>
    <font>
      <sz val="9"/>
      <color rgb="FF1F1B16"/>
      <name val="Arial"/>
      <family val="2"/>
    </font>
    <font>
      <sz val="9"/>
      <color rgb="FF3B3630"/>
      <name val="Arial"/>
      <family val="2"/>
    </font>
    <font>
      <i/>
      <sz val="9"/>
      <color rgb="FF7A7266"/>
      <name val="Arial"/>
      <family val="2"/>
    </font>
    <font>
      <sz val="9"/>
      <color rgb="FF0A66C2"/>
      <name val="Arial"/>
      <family val="2"/>
    </font>
    <font>
      <b/>
      <sz val="20"/>
      <color rgb="FF1F1B16"/>
      <name val="Georgia"/>
      <family val="2"/>
    </font>
    <font>
      <i/>
      <sz val="10"/>
      <color rgb="FF7A7266"/>
      <name val="Arial"/>
      <family val="2"/>
    </font>
    <font>
      <b/>
      <sz val="10"/>
      <color rgb="FF5E574D"/>
      <name val="Arial"/>
      <family val="2"/>
    </font>
    <font>
      <b/>
      <sz val="11"/>
      <color rgb="FF1F1B16"/>
      <name val="Arial"/>
      <family val="2"/>
    </font>
    <font>
      <sz val="10"/>
      <color rgb="FF7A7266"/>
      <name val="Arial"/>
      <family val="2"/>
    </font>
    <font>
      <b/>
      <sz val="10"/>
      <color rgb="FF1F4E79"/>
      <name val="Arial"/>
      <family val="2"/>
    </font>
    <font>
      <b/>
      <sz val="10"/>
      <color rgb="FF8A5A00"/>
      <name val="Arial"/>
      <family val="2"/>
    </font>
    <font>
      <b/>
      <sz val="10"/>
      <color rgb="FFA04A00"/>
      <name val="Arial"/>
      <family val="2"/>
    </font>
    <font>
      <b/>
      <sz val="10"/>
      <color rgb="FF0B6B50"/>
      <name val="Arial"/>
      <family val="2"/>
    </font>
    <font>
      <b/>
      <sz val="10"/>
      <color rgb="FF14632D"/>
      <name val="Arial"/>
      <family val="2"/>
    </font>
    <font>
      <b/>
      <sz val="10"/>
      <color rgb="FF4B2A7B"/>
      <name val="Arial"/>
      <family val="2"/>
    </font>
    <font>
      <b/>
      <sz val="10"/>
      <color rgb="FF8B1E1E"/>
      <name val="Arial"/>
      <family val="2"/>
    </font>
    <font>
      <b/>
      <sz val="10"/>
      <color rgb="FF8A8A8A"/>
      <name val="Arial"/>
      <family val="2"/>
    </font>
    <font>
      <b/>
      <sz val="16"/>
      <color rgb="FF1F1B16"/>
      <name val="Georgia"/>
      <family val="2"/>
    </font>
    <font>
      <b/>
      <sz val="10"/>
      <color rgb="FFA84A00"/>
      <name val="Arial"/>
      <family val="2"/>
    </font>
    <font>
      <b/>
      <sz val="10"/>
      <color rgb="FF3B3630"/>
      <name val="Arial"/>
      <family val="2"/>
    </font>
    <font>
      <b/>
      <sz val="10"/>
      <color rgb="FF7A7266"/>
      <name val="Arial"/>
      <family val="2"/>
    </font>
    <font>
      <b/>
      <sz val="9"/>
      <color rgb="FFE8690F"/>
      <name val="Arial"/>
      <family val="2"/>
    </font>
    <font>
      <b/>
      <sz val="24"/>
      <color rgb="FF1F1B16"/>
      <name val="Georgia"/>
      <family val="2"/>
    </font>
    <font>
      <sz val="11"/>
      <color rgb="FF3B3630"/>
      <name val="Arial"/>
      <family val="2"/>
    </font>
    <font>
      <b/>
      <sz val="22"/>
      <color rgb="FF1F1B16"/>
      <name val="Georgia"/>
      <family val="2"/>
    </font>
    <font>
      <b/>
      <sz val="13"/>
      <color rgb="FF1F1B16"/>
      <name val="Georgia"/>
      <family val="2"/>
    </font>
    <font>
      <b/>
      <sz val="13"/>
      <color rgb="FFFF7A1A"/>
      <name val="Georgia"/>
      <family val="2"/>
    </font>
    <font>
      <sz val="16"/>
      <color rgb="FFE8690F"/>
      <name val="Segoe Script"/>
      <family val="2"/>
    </font>
    <font>
      <u/>
      <sz val="9"/>
      <color rgb="FFE8690F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1F1B16"/>
        <bgColor indexed="64"/>
      </patternFill>
    </fill>
    <fill>
      <patternFill patternType="solid">
        <fgColor rgb="FFFF7A1A"/>
        <bgColor indexed="64"/>
      </patternFill>
    </fill>
    <fill>
      <patternFill patternType="solid">
        <fgColor rgb="FFF3EADA"/>
        <bgColor indexed="64"/>
      </patternFill>
    </fill>
    <fill>
      <patternFill patternType="solid">
        <fgColor rgb="FFFFFDF8"/>
        <bgColor indexed="64"/>
      </patternFill>
    </fill>
    <fill>
      <patternFill patternType="solid">
        <fgColor rgb="FFFFE7D1"/>
        <bgColor indexed="64"/>
      </patternFill>
    </fill>
    <fill>
      <patternFill patternType="solid">
        <fgColor rgb="FFFBF5EA"/>
        <bgColor indexed="64"/>
      </patternFill>
    </fill>
    <fill>
      <patternFill patternType="solid">
        <fgColor rgb="FFF7F3EC"/>
        <bgColor indexed="64"/>
      </patternFill>
    </fill>
    <fill>
      <patternFill patternType="solid">
        <fgColor rgb="FFF1ECE3"/>
        <bgColor indexed="64"/>
      </patternFill>
    </fill>
    <fill>
      <patternFill patternType="solid">
        <fgColor rgb="FFE3EEF9"/>
        <bgColor indexed="64"/>
      </patternFill>
    </fill>
    <fill>
      <patternFill patternType="solid">
        <fgColor rgb="FFFFF1D6"/>
        <bgColor indexed="64"/>
      </patternFill>
    </fill>
    <fill>
      <patternFill patternType="solid">
        <fgColor rgb="FFFFE2CC"/>
        <bgColor indexed="64"/>
      </patternFill>
    </fill>
    <fill>
      <patternFill patternType="solid">
        <fgColor rgb="FFDDF3EC"/>
        <bgColor indexed="64"/>
      </patternFill>
    </fill>
    <fill>
      <patternFill patternType="solid">
        <fgColor rgb="FFC9EDD3"/>
        <bgColor indexed="64"/>
      </patternFill>
    </fill>
    <fill>
      <patternFill patternType="solid">
        <fgColor rgb="FFECE3F7"/>
        <bgColor indexed="64"/>
      </patternFill>
    </fill>
    <fill>
      <patternFill patternType="solid">
        <fgColor rgb="FFFBE1E1"/>
        <bgColor indexed="64"/>
      </patternFill>
    </fill>
    <fill>
      <patternFill patternType="solid">
        <fgColor rgb="FFEEEEEE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medium">
        <color rgb="FFFF7A1A"/>
      </bottom>
      <diagonal/>
    </border>
    <border>
      <left/>
      <right/>
      <top/>
      <bottom style="thin">
        <color rgb="FFE8DCC6"/>
      </bottom>
      <diagonal/>
    </border>
    <border>
      <left/>
      <right/>
      <top/>
      <bottom style="thin">
        <color rgb="FFFFFFFF"/>
      </bottom>
      <diagonal/>
    </border>
    <border>
      <left style="thin">
        <color rgb="FFE8DCC6"/>
      </left>
      <right style="thin">
        <color rgb="FFE8DCC6"/>
      </right>
      <top style="thin">
        <color rgb="FFE8DCC6"/>
      </top>
      <bottom/>
      <diagonal/>
    </border>
    <border>
      <left style="thin">
        <color rgb="FFE8DCC6"/>
      </left>
      <right style="thin">
        <color rgb="FFE8DCC6"/>
      </right>
      <top/>
      <bottom style="thin">
        <color rgb="FFE8DCC6"/>
      </bottom>
      <diagonal/>
    </border>
    <border>
      <left/>
      <right style="thick">
        <color rgb="FFFBF5EA"/>
      </right>
      <top/>
      <bottom style="thick">
        <color rgb="FFFBF5EA"/>
      </bottom>
      <diagonal/>
    </border>
  </borders>
  <cellStyleXfs count="1">
    <xf numFmtId="0" fontId="0" fillId="0" borderId="0"/>
  </cellStyleXfs>
  <cellXfs count="78">
    <xf numFmtId="0" fontId="0" fillId="0" borderId="0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 indent="1"/>
    </xf>
    <xf numFmtId="0" fontId="2" fillId="2" borderId="0" xfId="0" applyFont="1" applyFill="1" applyBorder="1" applyAlignment="1">
      <alignment vertical="center" indent="1"/>
    </xf>
    <xf numFmtId="0" fontId="0" fillId="3" borderId="0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 indent="1"/>
    </xf>
    <xf numFmtId="0" fontId="3" fillId="4" borderId="1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vertical="center" indent="1"/>
    </xf>
    <xf numFmtId="0" fontId="5" fillId="5" borderId="2" xfId="0" applyFont="1" applyFill="1" applyBorder="1" applyAlignment="1">
      <alignment vertical="center" indent="1"/>
    </xf>
    <xf numFmtId="0" fontId="0" fillId="5" borderId="2" xfId="0" applyFont="1" applyFill="1" applyBorder="1" applyAlignment="1">
      <alignment vertical="center" indent="1"/>
    </xf>
    <xf numFmtId="0" fontId="6" fillId="6" borderId="2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vertical="center" indent="1"/>
    </xf>
    <xf numFmtId="0" fontId="8" fillId="5" borderId="2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vertical="center" indent="1"/>
    </xf>
    <xf numFmtId="0" fontId="10" fillId="5" borderId="2" xfId="0" applyFont="1" applyFill="1" applyBorder="1" applyAlignment="1">
      <alignment horizontal="center" vertical="center"/>
    </xf>
    <xf numFmtId="164" fontId="0" fillId="5" borderId="2" xfId="0" applyFont="1" applyFill="1" applyBorder="1" applyAlignment="1" applyNumberForma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vertical="center" indent="1"/>
    </xf>
    <xf numFmtId="0" fontId="5" fillId="7" borderId="2" xfId="0" applyFont="1" applyFill="1" applyBorder="1" applyAlignment="1">
      <alignment vertical="center" indent="1"/>
    </xf>
    <xf numFmtId="0" fontId="0" fillId="7" borderId="2" xfId="0" applyFont="1" applyFill="1" applyBorder="1" applyAlignment="1">
      <alignment vertical="center" indent="1"/>
    </xf>
    <xf numFmtId="0" fontId="7" fillId="7" borderId="2" xfId="0" applyFont="1" applyFill="1" applyBorder="1" applyAlignment="1">
      <alignment vertical="center" indent="1"/>
    </xf>
    <xf numFmtId="0" fontId="8" fillId="7" borderId="2" xfId="0" applyFont="1" applyFill="1" applyBorder="1" applyAlignment="1">
      <alignment horizontal="center" vertical="center"/>
    </xf>
    <xf numFmtId="0" fontId="9" fillId="7" borderId="2" xfId="0" applyFont="1" applyFill="1" applyBorder="1" applyAlignment="1">
      <alignment vertical="center" indent="1"/>
    </xf>
    <xf numFmtId="0" fontId="10" fillId="7" borderId="2" xfId="0" applyFont="1" applyFill="1" applyBorder="1" applyAlignment="1">
      <alignment horizontal="center" vertical="center"/>
    </xf>
    <xf numFmtId="164" fontId="0" fillId="7" borderId="2" xfId="0" applyFont="1" applyFill="1" applyBorder="1" applyAlignment="1" applyNumberFormat="1">
      <alignment horizontal="center" vertical="center"/>
    </xf>
    <xf numFmtId="0" fontId="11" fillId="4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12" fillId="7" borderId="2" xfId="0" applyFont="1" applyFill="1" applyBorder="1" applyAlignment="1">
      <alignment vertical="center" indent="1"/>
    </xf>
    <xf numFmtId="0" fontId="13" fillId="5" borderId="2" xfId="0" applyFont="1" applyFill="1" applyBorder="1" applyAlignment="1">
      <alignment horizontal="center" vertical="center"/>
    </xf>
    <xf numFmtId="0" fontId="0" fillId="7" borderId="2" xfId="0" applyFont="1" applyFill="1" applyBorder="1" applyAlignment="1">
      <alignment horizontal="center" vertical="center"/>
    </xf>
    <xf numFmtId="0" fontId="13" fillId="7" borderId="2" xfId="0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vertical="bottom"/>
    </xf>
    <xf numFmtId="0" fontId="15" fillId="0" borderId="0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 indent="1"/>
    </xf>
    <xf numFmtId="0" fontId="3" fillId="4" borderId="1" xfId="0" applyFont="1" applyFill="1" applyBorder="1" applyAlignment="1">
      <alignment horizontal="center" vertical="center"/>
    </xf>
    <xf numFmtId="0" fontId="16" fillId="9" borderId="3" xfId="0" applyFont="1" applyFill="1" applyBorder="1" applyAlignment="1">
      <alignment vertical="center" indent="1"/>
    </xf>
    <xf numFmtId="0" fontId="17" fillId="0" borderId="2" xfId="0" applyFont="1" applyFill="1" applyBorder="1" applyAlignment="1">
      <alignment horizontal="center" vertical="center"/>
    </xf>
    <xf numFmtId="9" fontId="18" fillId="0" borderId="2" xfId="0" applyFont="1" applyFill="1" applyBorder="1" applyAlignment="1" applyNumberFormat="1">
      <alignment horizontal="center" vertical="center"/>
    </xf>
    <xf numFmtId="0" fontId="0" fillId="0" borderId="2" xfId="0" applyFont="1" applyFill="1" applyBorder="1" applyAlignment="1">
      <alignment vertical="center"/>
    </xf>
    <xf numFmtId="0" fontId="19" fillId="10" borderId="3" xfId="0" applyFont="1" applyFill="1" applyBorder="1" applyAlignment="1">
      <alignment vertical="center" indent="1"/>
    </xf>
    <xf numFmtId="0" fontId="20" fillId="11" borderId="3" xfId="0" applyFont="1" applyFill="1" applyBorder="1" applyAlignment="1">
      <alignment vertical="center" indent="1"/>
    </xf>
    <xf numFmtId="0" fontId="21" fillId="12" borderId="3" xfId="0" applyFont="1" applyFill="1" applyBorder="1" applyAlignment="1">
      <alignment vertical="center" indent="1"/>
    </xf>
    <xf numFmtId="0" fontId="22" fillId="13" borderId="3" xfId="0" applyFont="1" applyFill="1" applyBorder="1" applyAlignment="1">
      <alignment vertical="center" indent="1"/>
    </xf>
    <xf numFmtId="0" fontId="23" fillId="14" borderId="3" xfId="0" applyFont="1" applyFill="1" applyBorder="1" applyAlignment="1">
      <alignment vertical="center" indent="1"/>
    </xf>
    <xf numFmtId="0" fontId="24" fillId="15" borderId="3" xfId="0" applyFont="1" applyFill="1" applyBorder="1" applyAlignment="1">
      <alignment vertical="center" indent="1"/>
    </xf>
    <xf numFmtId="0" fontId="25" fillId="16" borderId="3" xfId="0" applyFont="1" applyFill="1" applyBorder="1" applyAlignment="1">
      <alignment vertical="center" indent="1"/>
    </xf>
    <xf numFmtId="0" fontId="26" fillId="17" borderId="3" xfId="0" applyFont="1" applyFill="1" applyBorder="1" applyAlignment="1">
      <alignment vertical="center" indent="1"/>
    </xf>
    <xf numFmtId="0" fontId="18" fillId="0" borderId="0" xfId="0" applyFont="1" applyFill="1" applyBorder="1" applyAlignment="1">
      <alignment vertical="center" indent="1"/>
    </xf>
    <xf numFmtId="9" fontId="27" fillId="0" borderId="0" xfId="0" applyFont="1" applyFill="1" applyBorder="1" applyAlignment="1" applyNumberFormat="1">
      <alignment horizontal="center" vertical="center"/>
    </xf>
    <xf numFmtId="0" fontId="27" fillId="0" borderId="0" xfId="0" applyFont="1" applyFill="1" applyBorder="1" applyAlignment="1">
      <alignment horizontal="center" vertical="center"/>
    </xf>
    <xf numFmtId="0" fontId="28" fillId="6" borderId="3" xfId="0" applyFont="1" applyFill="1" applyBorder="1" applyAlignment="1">
      <alignment vertical="center" indent="1"/>
    </xf>
    <xf numFmtId="0" fontId="18" fillId="0" borderId="2" xfId="0" applyFont="1" applyFill="1" applyBorder="1" applyAlignment="1">
      <alignment horizontal="center" vertical="center"/>
    </xf>
    <xf numFmtId="0" fontId="29" fillId="4" borderId="3" xfId="0" applyFont="1" applyFill="1" applyBorder="1" applyAlignment="1">
      <alignment vertical="center" indent="1"/>
    </xf>
    <xf numFmtId="0" fontId="30" fillId="8" borderId="3" xfId="0" applyFont="1" applyFill="1" applyBorder="1" applyAlignment="1">
      <alignment vertical="center" indent="1"/>
    </xf>
    <xf numFmtId="0" fontId="0" fillId="7" borderId="0" xfId="0" applyFont="1" applyFill="1" applyBorder="1" applyAlignment="1">
      <alignment vertical="center"/>
    </xf>
    <xf numFmtId="0" fontId="31" fillId="7" borderId="0" xfId="0" applyFont="1" applyFill="1" applyBorder="1" applyAlignment="1">
      <alignment vertical="center"/>
    </xf>
    <xf numFmtId="0" fontId="32" fillId="7" borderId="0" xfId="0" applyFont="1" applyFill="1" applyBorder="1" applyAlignment="1">
      <alignment vertical="bottom"/>
    </xf>
    <xf numFmtId="0" fontId="33" fillId="7" borderId="0" xfId="0" applyFont="1" applyFill="1" applyBorder="1" applyAlignment="1">
      <alignment vertical="center"/>
    </xf>
    <xf numFmtId="0" fontId="15" fillId="7" borderId="0" xfId="0" applyFont="1" applyFill="1" applyBorder="1" applyAlignment="1">
      <alignment vertical="center"/>
    </xf>
    <xf numFmtId="0" fontId="0" fillId="7" borderId="1" xfId="0" applyFont="1" applyFill="1" applyBorder="1" applyAlignment="1">
      <alignment vertical="center"/>
    </xf>
    <xf numFmtId="0" fontId="34" fillId="5" borderId="4" xfId="0" applyFont="1" applyFill="1" applyBorder="1" applyAlignment="1">
      <alignment horizontal="center" vertical="bottom"/>
    </xf>
    <xf numFmtId="0" fontId="4" fillId="5" borderId="5" xfId="0" applyFont="1" applyFill="1" applyBorder="1" applyAlignment="1">
      <alignment horizontal="center" vertical="top"/>
    </xf>
    <xf numFmtId="0" fontId="35" fillId="7" borderId="0" xfId="0" applyFont="1" applyFill="1" applyBorder="1" applyAlignment="1">
      <alignment vertical="bottom"/>
    </xf>
    <xf numFmtId="0" fontId="5" fillId="7" borderId="0" xfId="0" applyFont="1" applyFill="1" applyBorder="1" applyAlignment="1">
      <alignment vertical="top" wrapText="1"/>
    </xf>
    <xf numFmtId="0" fontId="36" fillId="7" borderId="0" xfId="0" applyFont="1" applyFill="1" applyBorder="1" applyAlignment="1">
      <alignment horizontal="right" vertical="top"/>
    </xf>
    <xf numFmtId="0" fontId="16" fillId="9" borderId="6" xfId="0" applyFont="1" applyFill="1" applyBorder="1" applyAlignment="1">
      <alignment horizontal="center" vertical="center"/>
    </xf>
    <xf numFmtId="0" fontId="19" fillId="10" borderId="6" xfId="0" applyFont="1" applyFill="1" applyBorder="1" applyAlignment="1">
      <alignment horizontal="center" vertical="center"/>
    </xf>
    <xf numFmtId="0" fontId="20" fillId="11" borderId="6" xfId="0" applyFont="1" applyFill="1" applyBorder="1" applyAlignment="1">
      <alignment horizontal="center" vertical="center"/>
    </xf>
    <xf numFmtId="0" fontId="21" fillId="12" borderId="6" xfId="0" applyFont="1" applyFill="1" applyBorder="1" applyAlignment="1">
      <alignment horizontal="center" vertical="center"/>
    </xf>
    <xf numFmtId="0" fontId="22" fillId="13" borderId="6" xfId="0" applyFont="1" applyFill="1" applyBorder="1" applyAlignment="1">
      <alignment horizontal="center" vertical="center"/>
    </xf>
    <xf numFmtId="0" fontId="23" fillId="14" borderId="6" xfId="0" applyFont="1" applyFill="1" applyBorder="1" applyAlignment="1">
      <alignment horizontal="center" vertical="center"/>
    </xf>
    <xf numFmtId="0" fontId="24" fillId="15" borderId="6" xfId="0" applyFont="1" applyFill="1" applyBorder="1" applyAlignment="1">
      <alignment horizontal="center" vertical="center"/>
    </xf>
    <xf numFmtId="0" fontId="25" fillId="16" borderId="6" xfId="0" applyFont="1" applyFill="1" applyBorder="1" applyAlignment="1">
      <alignment horizontal="center" vertical="center"/>
    </xf>
    <xf numFmtId="0" fontId="26" fillId="17" borderId="6" xfId="0" applyFont="1" applyFill="1" applyBorder="1" applyAlignment="1">
      <alignment horizontal="center" vertical="center"/>
    </xf>
    <xf numFmtId="0" fontId="5" fillId="7" borderId="0" xfId="0" applyFont="1" applyFill="1" applyBorder="1" applyAlignment="1">
      <alignment vertical="center"/>
    </xf>
    <xf numFmtId="0" fontId="37" fillId="7" borderId="0" xfId="0" applyFont="1" applyFill="1" applyBorder="1" applyAlignment="1">
      <alignment vertical="center"/>
    </xf>
    <xf numFmtId="0" fontId="4" fillId="7" borderId="0" xfId="0" applyFont="1" applyFill="1" applyBorder="1" applyAlignment="1">
      <alignment vertical="center"/>
    </xf>
    <xf numFmtId="0" fontId="38" fillId="7" borderId="0" xfId="0" applyFont="1" applyFill="1" applyBorder="1" applyAlignment="1">
      <alignment vertical="center"/>
    </xf>
  </cellXfs>
  <cellStyles count="1">
    <cellStyle name="Normal" xfId="0" builtinId="0"/>
  </cellStyles>
  <dxfs count="10">
    <dxf>
      <font>
        <color rgb="FF5E574D"/>
      </font>
      <fill>
        <patternFill patternType="solid">
          <fgColor rgb="FFF1ECE3"/>
          <bgColor rgb="FFF1ECE3"/>
        </patternFill>
      </fill>
    </dxf>
    <dxf>
      <font>
        <color rgb="FF1F4E79"/>
      </font>
      <fill>
        <patternFill patternType="solid">
          <fgColor rgb="FFE3EEF9"/>
          <bgColor rgb="FFE3EEF9"/>
        </patternFill>
      </fill>
    </dxf>
    <dxf>
      <font>
        <color rgb="FF8A5A00"/>
      </font>
      <fill>
        <patternFill patternType="solid">
          <fgColor rgb="FFFFF1D6"/>
          <bgColor rgb="FFFFF1D6"/>
        </patternFill>
      </fill>
    </dxf>
    <dxf>
      <font>
        <color rgb="FFA04A00"/>
      </font>
      <fill>
        <patternFill patternType="solid">
          <fgColor rgb="FFFFE2CC"/>
          <bgColor rgb="FFFFE2CC"/>
        </patternFill>
      </fill>
    </dxf>
    <dxf>
      <font>
        <color rgb="FF0B6B50"/>
      </font>
      <fill>
        <patternFill patternType="solid">
          <fgColor rgb="FFDDF3EC"/>
          <bgColor rgb="FFDDF3EC"/>
        </patternFill>
      </fill>
    </dxf>
    <dxf>
      <font>
        <b/>
        <color rgb="FF14632D"/>
      </font>
      <fill>
        <patternFill patternType="solid">
          <fgColor rgb="FFC9EDD3"/>
          <bgColor rgb="FFC9EDD3"/>
        </patternFill>
      </fill>
    </dxf>
    <dxf>
      <font>
        <b/>
        <color rgb="FF4B2A7B"/>
      </font>
      <fill>
        <patternFill patternType="solid">
          <fgColor rgb="FFECE3F7"/>
          <bgColor rgb="FFECE3F7"/>
        </patternFill>
      </fill>
    </dxf>
    <dxf>
      <font>
        <color rgb="FF8B1E1E"/>
      </font>
      <fill>
        <patternFill patternType="solid">
          <fgColor rgb="FFFBE1E1"/>
          <bgColor rgb="FFFBE1E1"/>
        </patternFill>
      </fill>
    </dxf>
    <dxf>
      <font>
        <strike/>
        <color rgb="FF8A8A8A"/>
      </font>
      <fill>
        <patternFill patternType="solid">
          <fgColor rgb="FFEEEEEE"/>
          <bgColor rgb="FFEEEEEE"/>
        </patternFill>
      </fill>
    </dxf>
    <dxf>
      <font>
        <color rgb="FF1F1B16"/>
      </font>
      <fill>
        <patternFill patternType="solid">
          <fgColor rgb="FFEAF7EE"/>
          <bgColor rgb="FFEAF7EE"/>
        </patternFill>
      </fill>
    </dxf>
  </dxfs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lists.climateinsiders.com/all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mailto:harald.klien@cdiconsult.com" TargetMode="External"/><Relationship Id="rId2" Type="http://schemas.openxmlformats.org/officeDocument/2006/relationships/hyperlink" Target="https://www.linkedin.com/in/haraldklien" TargetMode="External"/><Relationship Id="rId3" Type="http://schemas.openxmlformats.org/officeDocument/2006/relationships/hyperlink" Target="mailto:daniel.gillet@onetoonecf.com" TargetMode="External"/><Relationship Id="rId4" Type="http://schemas.openxmlformats.org/officeDocument/2006/relationships/hyperlink" Target="https://www.linkedin.com/in/daniel-gillet-553b36b" TargetMode="External"/><Relationship Id="rId5" Type="http://schemas.openxmlformats.org/officeDocument/2006/relationships/hyperlink" Target="mailto:colette@espringcapital.eu" TargetMode="External"/><Relationship Id="rId6" Type="http://schemas.openxmlformats.org/officeDocument/2006/relationships/hyperlink" Target="https://www.linkedin.com/in/colette-plasman-a3616a19" TargetMode="External"/><Relationship Id="rId7" Type="http://schemas.openxmlformats.org/officeDocument/2006/relationships/hyperlink" Target="https://www.espringcapital.eu" TargetMode="External"/><Relationship Id="rId8" Type="http://schemas.openxmlformats.org/officeDocument/2006/relationships/hyperlink" Target="mailto:bart.wouters@strada-partners.com" TargetMode="External"/><Relationship Id="rId9" Type="http://schemas.openxmlformats.org/officeDocument/2006/relationships/hyperlink" Target="https://www.linkedin.com/in/bart-wouters-58916b2" TargetMode="External"/><Relationship Id="rId10" Type="http://schemas.openxmlformats.org/officeDocument/2006/relationships/hyperlink" Target="https://www.strada-partners.com" TargetMode="External"/><Relationship Id="rId11" Type="http://schemas.openxmlformats.org/officeDocument/2006/relationships/hyperlink" Target="mailto:julie.lauwers@syus.be" TargetMode="External"/><Relationship Id="rId12" Type="http://schemas.openxmlformats.org/officeDocument/2006/relationships/hyperlink" Target="https://www.linkedin.com/in/julie-lauwers-0398a153" TargetMode="External"/><Relationship Id="rId13" Type="http://schemas.openxmlformats.org/officeDocument/2006/relationships/hyperlink" Target="https://www.syus.be" TargetMode="External"/><Relationship Id="rId14" Type="http://schemas.openxmlformats.org/officeDocument/2006/relationships/hyperlink" Target="https://www.linkedin.com/in/petr-tmej-1a6b19201" TargetMode="External"/><Relationship Id="rId15" Type="http://schemas.openxmlformats.org/officeDocument/2006/relationships/hyperlink" Target="mailto:harald.klien@cdiconsult.com" TargetMode="External"/><Relationship Id="rId16" Type="http://schemas.openxmlformats.org/officeDocument/2006/relationships/hyperlink" Target="https://www.linkedin.com/in/haraldklien" TargetMode="External"/><Relationship Id="rId17" Type="http://schemas.openxmlformats.org/officeDocument/2006/relationships/hyperlink" Target="mailto:daniel.gillet@onetoonecf.com" TargetMode="External"/><Relationship Id="rId18" Type="http://schemas.openxmlformats.org/officeDocument/2006/relationships/hyperlink" Target="https://www.linkedin.com/in/daniel-gillet-553b36b" TargetMode="External"/><Relationship Id="rId19" Type="http://schemas.openxmlformats.org/officeDocument/2006/relationships/hyperlink" Target="mailto:colette@espringcapital.eu" TargetMode="External"/><Relationship Id="rId20" Type="http://schemas.openxmlformats.org/officeDocument/2006/relationships/hyperlink" Target="https://www.linkedin.com/in/colette-plasman-a3616a19" TargetMode="External"/><Relationship Id="rId21" Type="http://schemas.openxmlformats.org/officeDocument/2006/relationships/hyperlink" Target="https://www.espringcapital.eu" TargetMode="External"/><Relationship Id="rId22" Type="http://schemas.openxmlformats.org/officeDocument/2006/relationships/hyperlink" Target="mailto:bart.wouters@strada-partners.com" TargetMode="External"/><Relationship Id="rId23" Type="http://schemas.openxmlformats.org/officeDocument/2006/relationships/hyperlink" Target="https://www.linkedin.com/in/bart-wouters-58916b2" TargetMode="External"/><Relationship Id="rId24" Type="http://schemas.openxmlformats.org/officeDocument/2006/relationships/hyperlink" Target="https://www.strada-partners.com" TargetMode="External"/><Relationship Id="rId25" Type="http://schemas.openxmlformats.org/officeDocument/2006/relationships/hyperlink" Target="mailto:julie.lauwers@syus.be" TargetMode="External"/><Relationship Id="rId26" Type="http://schemas.openxmlformats.org/officeDocument/2006/relationships/hyperlink" Target="https://www.linkedin.com/in/julie-lauwers-0398a153" TargetMode="External"/><Relationship Id="rId27" Type="http://schemas.openxmlformats.org/officeDocument/2006/relationships/hyperlink" Target="https://www.syus.be" TargetMode="External"/><Relationship Id="rId28" Type="http://schemas.openxmlformats.org/officeDocument/2006/relationships/hyperlink" Target="https://www.linkedin.com/in/petr-tmej-1a6b19201" TargetMode="External"/><Relationship Id="rId29" Type="http://schemas.openxmlformats.org/officeDocument/2006/relationships/hyperlink" Target="mailto:harald.klien@cdiconsult.com" TargetMode="External"/><Relationship Id="rId30" Type="http://schemas.openxmlformats.org/officeDocument/2006/relationships/hyperlink" Target="https://www.linkedin.com/in/haraldklien" TargetMode="External"/><Relationship Id="rId31" Type="http://schemas.openxmlformats.org/officeDocument/2006/relationships/hyperlink" Target="mailto:daniel.gillet@onetoonecf.com" TargetMode="External"/><Relationship Id="rId32" Type="http://schemas.openxmlformats.org/officeDocument/2006/relationships/hyperlink" Target="https://www.linkedin.com/in/daniel-gillet-553b36b" TargetMode="External"/><Relationship Id="rId33" Type="http://schemas.openxmlformats.org/officeDocument/2006/relationships/hyperlink" Target="mailto:colette@espringcapital.eu" TargetMode="External"/><Relationship Id="rId34" Type="http://schemas.openxmlformats.org/officeDocument/2006/relationships/hyperlink" Target="https://www.linkedin.com/in/colette-plasman-a3616a19" TargetMode="External"/><Relationship Id="rId35" Type="http://schemas.openxmlformats.org/officeDocument/2006/relationships/hyperlink" Target="https://www.espringcapital.eu" TargetMode="External"/><Relationship Id="rId36" Type="http://schemas.openxmlformats.org/officeDocument/2006/relationships/hyperlink" Target="mailto:bart.wouters@strada-partners.com" TargetMode="External"/><Relationship Id="rId37" Type="http://schemas.openxmlformats.org/officeDocument/2006/relationships/hyperlink" Target="https://www.linkedin.com/in/bart-wouters-58916b2" TargetMode="External"/><Relationship Id="rId38" Type="http://schemas.openxmlformats.org/officeDocument/2006/relationships/hyperlink" Target="https://www.strada-partners.com" TargetMode="External"/><Relationship Id="rId39" Type="http://schemas.openxmlformats.org/officeDocument/2006/relationships/hyperlink" Target="mailto:julie.lauwers@syus.be" TargetMode="External"/><Relationship Id="rId40" Type="http://schemas.openxmlformats.org/officeDocument/2006/relationships/hyperlink" Target="https://www.linkedin.com/in/julie-lauwers-0398a153" TargetMode="External"/><Relationship Id="rId41" Type="http://schemas.openxmlformats.org/officeDocument/2006/relationships/hyperlink" Target="https://www.syus.be" TargetMode="External"/><Relationship Id="rId42" Type="http://schemas.openxmlformats.org/officeDocument/2006/relationships/hyperlink" Target="https://www.linkedin.com/in/petr-tmej-1a6b19201" TargetMode="External"/><Relationship Id="rId43" Type="http://schemas.openxmlformats.org/officeDocument/2006/relationships/hyperlink" Target="mailto:harald.klien@cdiconsult.com" TargetMode="External"/><Relationship Id="rId44" Type="http://schemas.openxmlformats.org/officeDocument/2006/relationships/hyperlink" Target="https://www.linkedin.com/in/haraldklien" TargetMode="External"/><Relationship Id="rId45" Type="http://schemas.openxmlformats.org/officeDocument/2006/relationships/hyperlink" Target="mailto:daniel.gillet@onetoonecf.com" TargetMode="External"/><Relationship Id="rId46" Type="http://schemas.openxmlformats.org/officeDocument/2006/relationships/hyperlink" Target="https://www.linkedin.com/in/daniel-gillet-553b36b" TargetMode="External"/><Relationship Id="rId47" Type="http://schemas.openxmlformats.org/officeDocument/2006/relationships/hyperlink" Target="mailto:colette@espringcapital.eu" TargetMode="External"/><Relationship Id="rId48" Type="http://schemas.openxmlformats.org/officeDocument/2006/relationships/hyperlink" Target="https://www.linkedin.com/in/colette-plasman-a3616a19" TargetMode="External"/><Relationship Id="rId49" Type="http://schemas.openxmlformats.org/officeDocument/2006/relationships/hyperlink" Target="https://www.espringcapital.eu" TargetMode="External"/><Relationship Id="rId50" Type="http://schemas.openxmlformats.org/officeDocument/2006/relationships/hyperlink" Target="mailto:bart.wouters@strada-partners.com" TargetMode="External"/><Relationship Id="rId51" Type="http://schemas.openxmlformats.org/officeDocument/2006/relationships/hyperlink" Target="https://www.linkedin.com/in/bart-wouters-58916b2" TargetMode="External"/><Relationship Id="rId52" Type="http://schemas.openxmlformats.org/officeDocument/2006/relationships/hyperlink" Target="https://www.strada-partners.com" TargetMode="External"/><Relationship Id="rId53" Type="http://schemas.openxmlformats.org/officeDocument/2006/relationships/hyperlink" Target="mailto:julie.lauwers@syus.be" TargetMode="External"/><Relationship Id="rId54" Type="http://schemas.openxmlformats.org/officeDocument/2006/relationships/hyperlink" Target="https://www.linkedin.com/in/julie-lauwers-0398a153" TargetMode="External"/><Relationship Id="rId55" Type="http://schemas.openxmlformats.org/officeDocument/2006/relationships/hyperlink" Target="https://www.syus.be" TargetMode="External"/><Relationship Id="rId56" Type="http://schemas.openxmlformats.org/officeDocument/2006/relationships/hyperlink" Target="https://www.linkedin.com/in/petr-tmej-1a6b19201" TargetMode="External"/><Relationship Id="rId57" Type="http://schemas.openxmlformats.org/officeDocument/2006/relationships/hyperlink" Target="mailto:harald.klien@cdiconsult.com" TargetMode="External"/><Relationship Id="rId58" Type="http://schemas.openxmlformats.org/officeDocument/2006/relationships/hyperlink" Target="https://www.linkedin.com/in/haraldklien" TargetMode="External"/><Relationship Id="rId59" Type="http://schemas.openxmlformats.org/officeDocument/2006/relationships/hyperlink" Target="mailto:daniel.gillet@onetoonecf.com" TargetMode="External"/><Relationship Id="rId60" Type="http://schemas.openxmlformats.org/officeDocument/2006/relationships/hyperlink" Target="https://www.linkedin.com/in/daniel-gillet-553b36b" TargetMode="External"/><Relationship Id="rId61" Type="http://schemas.openxmlformats.org/officeDocument/2006/relationships/hyperlink" Target="mailto:colette@espringcapital.eu" TargetMode="External"/><Relationship Id="rId62" Type="http://schemas.openxmlformats.org/officeDocument/2006/relationships/hyperlink" Target="https://www.linkedin.com/in/colette-plasman-a3616a19" TargetMode="External"/><Relationship Id="rId63" Type="http://schemas.openxmlformats.org/officeDocument/2006/relationships/hyperlink" Target="https://www.espringcapital.eu" TargetMode="External"/><Relationship Id="rId64" Type="http://schemas.openxmlformats.org/officeDocument/2006/relationships/hyperlink" Target="mailto:bart.wouters@strada-partners.com" TargetMode="External"/><Relationship Id="rId65" Type="http://schemas.openxmlformats.org/officeDocument/2006/relationships/hyperlink" Target="https://www.linkedin.com/in/bart-wouters-58916b2" TargetMode="External"/><Relationship Id="rId66" Type="http://schemas.openxmlformats.org/officeDocument/2006/relationships/hyperlink" Target="https://www.strada-partners.com" TargetMode="External"/><Relationship Id="rId67" Type="http://schemas.openxmlformats.org/officeDocument/2006/relationships/hyperlink" Target="mailto:julie.lauwers@syus.be" TargetMode="External"/><Relationship Id="rId68" Type="http://schemas.openxmlformats.org/officeDocument/2006/relationships/hyperlink" Target="https://www.linkedin.com/in/julie-lauwers-0398a153" TargetMode="External"/><Relationship Id="rId69" Type="http://schemas.openxmlformats.org/officeDocument/2006/relationships/hyperlink" Target="https://www.syus.be" TargetMode="External"/><Relationship Id="rId70" Type="http://schemas.openxmlformats.org/officeDocument/2006/relationships/hyperlink" Target="https://www.linkedin.com/in/petr-tmej-1a6b19201" TargetMode="External"/><Relationship Id="rId71" Type="http://schemas.openxmlformats.org/officeDocument/2006/relationships/hyperlink" Target="mailto:harald.klien@cdiconsult.com" TargetMode="External"/><Relationship Id="rId72" Type="http://schemas.openxmlformats.org/officeDocument/2006/relationships/hyperlink" Target="https://www.linkedin.com/in/haraldklien" TargetMode="External"/><Relationship Id="rId73" Type="http://schemas.openxmlformats.org/officeDocument/2006/relationships/hyperlink" Target="mailto:daniel.gillet@onetoonecf.com" TargetMode="External"/><Relationship Id="rId74" Type="http://schemas.openxmlformats.org/officeDocument/2006/relationships/hyperlink" Target="https://www.linkedin.com/in/daniel-gillet-553b36b" TargetMode="External"/><Relationship Id="rId75" Type="http://schemas.openxmlformats.org/officeDocument/2006/relationships/hyperlink" Target="mailto:colette@espringcapital.eu" TargetMode="External"/><Relationship Id="rId76" Type="http://schemas.openxmlformats.org/officeDocument/2006/relationships/hyperlink" Target="https://www.linkedin.com/in/colette-plasman-a3616a19" TargetMode="External"/><Relationship Id="rId77" Type="http://schemas.openxmlformats.org/officeDocument/2006/relationships/hyperlink" Target="https://www.espringcapital.eu" TargetMode="External"/><Relationship Id="rId78" Type="http://schemas.openxmlformats.org/officeDocument/2006/relationships/hyperlink" Target="mailto:bart.wouters@strada-partners.com" TargetMode="External"/><Relationship Id="rId79" Type="http://schemas.openxmlformats.org/officeDocument/2006/relationships/hyperlink" Target="https://www.linkedin.com/in/bart-wouters-58916b2" TargetMode="External"/><Relationship Id="rId80" Type="http://schemas.openxmlformats.org/officeDocument/2006/relationships/hyperlink" Target="https://www.strada-partners.com" TargetMode="External"/><Relationship Id="rId81" Type="http://schemas.openxmlformats.org/officeDocument/2006/relationships/hyperlink" Target="mailto:julie.lauwers@syus.be" TargetMode="External"/><Relationship Id="rId82" Type="http://schemas.openxmlformats.org/officeDocument/2006/relationships/hyperlink" Target="https://www.linkedin.com/in/julie-lauwers-0398a153" TargetMode="External"/><Relationship Id="rId83" Type="http://schemas.openxmlformats.org/officeDocument/2006/relationships/hyperlink" Target="https://www.syus.be" TargetMode="External"/><Relationship Id="rId84" Type="http://schemas.openxmlformats.org/officeDocument/2006/relationships/hyperlink" Target="https://www.linkedin.com/in/petr-tmej-1a6b19201" TargetMode="External"/><Relationship Id="rId85" Type="http://schemas.openxmlformats.org/officeDocument/2006/relationships/hyperlink" Target="mailto:harald.klien@cdiconsult.com" TargetMode="External"/><Relationship Id="rId86" Type="http://schemas.openxmlformats.org/officeDocument/2006/relationships/hyperlink" Target="https://www.linkedin.com/in/haraldklien" TargetMode="External"/><Relationship Id="rId87" Type="http://schemas.openxmlformats.org/officeDocument/2006/relationships/hyperlink" Target="mailto:daniel.gillet@onetoonecf.com" TargetMode="External"/><Relationship Id="rId88" Type="http://schemas.openxmlformats.org/officeDocument/2006/relationships/hyperlink" Target="https://www.linkedin.com/in/daniel-gillet-553b36b" TargetMode="External"/><Relationship Id="rId89" Type="http://schemas.openxmlformats.org/officeDocument/2006/relationships/hyperlink" Target="mailto:colette@espringcapital.eu" TargetMode="External"/><Relationship Id="rId90" Type="http://schemas.openxmlformats.org/officeDocument/2006/relationships/hyperlink" Target="https://www.linkedin.com/in/colette-plasman-a3616a19" TargetMode="External"/><Relationship Id="rId91" Type="http://schemas.openxmlformats.org/officeDocument/2006/relationships/hyperlink" Target="https://www.espringcapital.eu" TargetMode="External"/><Relationship Id="rId92" Type="http://schemas.openxmlformats.org/officeDocument/2006/relationships/hyperlink" Target="mailto:bart.wouters@strada-partners.com" TargetMode="External"/><Relationship Id="rId93" Type="http://schemas.openxmlformats.org/officeDocument/2006/relationships/hyperlink" Target="https://www.linkedin.com/in/bart-wouters-58916b2" TargetMode="External"/><Relationship Id="rId94" Type="http://schemas.openxmlformats.org/officeDocument/2006/relationships/hyperlink" Target="https://www.strada-partners.com" TargetMode="External"/><Relationship Id="rId95" Type="http://schemas.openxmlformats.org/officeDocument/2006/relationships/hyperlink" Target="mailto:julie.lauwers@syus.be" TargetMode="External"/><Relationship Id="rId96" Type="http://schemas.openxmlformats.org/officeDocument/2006/relationships/hyperlink" Target="https://www.linkedin.com/in/julie-lauwers-0398a153" TargetMode="External"/><Relationship Id="rId97" Type="http://schemas.openxmlformats.org/officeDocument/2006/relationships/hyperlink" Target="https://www.syus.be" TargetMode="External"/><Relationship Id="rId98" Type="http://schemas.openxmlformats.org/officeDocument/2006/relationships/hyperlink" Target="https://www.linkedin.com/in/petr-tmej-1a6b19201" TargetMode="External"/><Relationship Id="rId99" Type="http://schemas.openxmlformats.org/officeDocument/2006/relationships/hyperlink" Target="mailto:harald.klien@cdiconsult.com" TargetMode="External"/><Relationship Id="rId100" Type="http://schemas.openxmlformats.org/officeDocument/2006/relationships/hyperlink" Target="https://www.linkedin.com/in/haraldklien" TargetMode="External"/><Relationship Id="rId101" Type="http://schemas.openxmlformats.org/officeDocument/2006/relationships/hyperlink" Target="mailto:daniel.gillet@onetoonecf.com" TargetMode="External"/><Relationship Id="rId102" Type="http://schemas.openxmlformats.org/officeDocument/2006/relationships/hyperlink" Target="https://www.linkedin.com/in/daniel-gillet-553b36b" TargetMode="External"/><Relationship Id="rId103" Type="http://schemas.openxmlformats.org/officeDocument/2006/relationships/hyperlink" Target="mailto:colette@espringcapital.eu" TargetMode="External"/><Relationship Id="rId104" Type="http://schemas.openxmlformats.org/officeDocument/2006/relationships/hyperlink" Target="https://www.linkedin.com/in/colette-plasman-a3616a19" TargetMode="External"/><Relationship Id="rId105" Type="http://schemas.openxmlformats.org/officeDocument/2006/relationships/hyperlink" Target="https://www.espringcapital.eu" TargetMode="External"/><Relationship Id="rId106" Type="http://schemas.openxmlformats.org/officeDocument/2006/relationships/hyperlink" Target="mailto:bart.wouters@strada-partners.com" TargetMode="External"/><Relationship Id="rId107" Type="http://schemas.openxmlformats.org/officeDocument/2006/relationships/hyperlink" Target="https://www.linkedin.com/in/bart-wouters-58916b2" TargetMode="External"/><Relationship Id="rId108" Type="http://schemas.openxmlformats.org/officeDocument/2006/relationships/hyperlink" Target="https://www.strada-partners.com" TargetMode="External"/><Relationship Id="rId109" Type="http://schemas.openxmlformats.org/officeDocument/2006/relationships/hyperlink" Target="mailto:julie.lauwers@syus.be" TargetMode="External"/><Relationship Id="rId110" Type="http://schemas.openxmlformats.org/officeDocument/2006/relationships/hyperlink" Target="https://www.linkedin.com/in/julie-lauwers-0398a153" TargetMode="External"/><Relationship Id="rId111" Type="http://schemas.openxmlformats.org/officeDocument/2006/relationships/hyperlink" Target="https://www.syus.be" TargetMode="External"/><Relationship Id="rId112" Type="http://schemas.openxmlformats.org/officeDocument/2006/relationships/hyperlink" Target="https://www.linkedin.com/in/petr-tmej-1a6b19201" TargetMode="External"/><Relationship Id="rId113" Type="http://schemas.openxmlformats.org/officeDocument/2006/relationships/hyperlink" Target="mailto:harald.klien@cdiconsult.com" TargetMode="External"/><Relationship Id="rId114" Type="http://schemas.openxmlformats.org/officeDocument/2006/relationships/hyperlink" Target="https://www.linkedin.com/in/haraldklien" TargetMode="External"/><Relationship Id="rId115" Type="http://schemas.openxmlformats.org/officeDocument/2006/relationships/hyperlink" Target="mailto:daniel.gillet@onetoonecf.com" TargetMode="External"/><Relationship Id="rId116" Type="http://schemas.openxmlformats.org/officeDocument/2006/relationships/hyperlink" Target="https://www.linkedin.com/in/daniel-gillet-553b36b" TargetMode="External"/><Relationship Id="rId117" Type="http://schemas.openxmlformats.org/officeDocument/2006/relationships/hyperlink" Target="mailto:colette@espringcapital.eu" TargetMode="External"/><Relationship Id="rId118" Type="http://schemas.openxmlformats.org/officeDocument/2006/relationships/hyperlink" Target="https://www.linkedin.com/in/colette-plasman-a3616a19" TargetMode="External"/><Relationship Id="rId119" Type="http://schemas.openxmlformats.org/officeDocument/2006/relationships/hyperlink" Target="https://www.espringcapital.eu" TargetMode="External"/><Relationship Id="rId120" Type="http://schemas.openxmlformats.org/officeDocument/2006/relationships/hyperlink" Target="mailto:bart.wouters@strada-partners.com" TargetMode="External"/><Relationship Id="rId121" Type="http://schemas.openxmlformats.org/officeDocument/2006/relationships/hyperlink" Target="https://www.linkedin.com/in/bart-wouters-58916b2" TargetMode="External"/><Relationship Id="rId122" Type="http://schemas.openxmlformats.org/officeDocument/2006/relationships/hyperlink" Target="https://www.strada-partners.com" TargetMode="External"/><Relationship Id="rId123" Type="http://schemas.openxmlformats.org/officeDocument/2006/relationships/hyperlink" Target="mailto:julie.lauwers@syus.be" TargetMode="External"/><Relationship Id="rId124" Type="http://schemas.openxmlformats.org/officeDocument/2006/relationships/hyperlink" Target="https://www.linkedin.com/in/julie-lauwers-0398a153" TargetMode="External"/><Relationship Id="rId125" Type="http://schemas.openxmlformats.org/officeDocument/2006/relationships/hyperlink" Target="https://www.syus.be" TargetMode="External"/><Relationship Id="rId126" Type="http://schemas.openxmlformats.org/officeDocument/2006/relationships/hyperlink" Target="https://www.linkedin.com/in/petr-tmej-1a6b19201" TargetMode="External"/><Relationship Id="rId127" Type="http://schemas.openxmlformats.org/officeDocument/2006/relationships/hyperlink" Target="mailto:harald.klien@cdiconsult.com" TargetMode="External"/><Relationship Id="rId128" Type="http://schemas.openxmlformats.org/officeDocument/2006/relationships/hyperlink" Target="https://www.linkedin.com/in/haraldklien" TargetMode="External"/><Relationship Id="rId129" Type="http://schemas.openxmlformats.org/officeDocument/2006/relationships/hyperlink" Target="mailto:daniel.gillet@onetoonecf.com" TargetMode="External"/><Relationship Id="rId130" Type="http://schemas.openxmlformats.org/officeDocument/2006/relationships/hyperlink" Target="https://www.linkedin.com/in/daniel-gillet-553b36b" TargetMode="External"/><Relationship Id="rId131" Type="http://schemas.openxmlformats.org/officeDocument/2006/relationships/hyperlink" Target="mailto:colette@espringcapital.eu" TargetMode="External"/><Relationship Id="rId132" Type="http://schemas.openxmlformats.org/officeDocument/2006/relationships/hyperlink" Target="https://www.linkedin.com/in/colette-plasman-a3616a19" TargetMode="External"/><Relationship Id="rId133" Type="http://schemas.openxmlformats.org/officeDocument/2006/relationships/hyperlink" Target="https://www.espringcapital.eu" TargetMode="External"/><Relationship Id="rId134" Type="http://schemas.openxmlformats.org/officeDocument/2006/relationships/hyperlink" Target="mailto:bart.wouters@strada-partners.com" TargetMode="External"/><Relationship Id="rId135" Type="http://schemas.openxmlformats.org/officeDocument/2006/relationships/hyperlink" Target="https://www.linkedin.com/in/bart-wouters-58916b2" TargetMode="External"/><Relationship Id="rId136" Type="http://schemas.openxmlformats.org/officeDocument/2006/relationships/hyperlink" Target="https://www.strada-partners.com" TargetMode="External"/><Relationship Id="rId137" Type="http://schemas.openxmlformats.org/officeDocument/2006/relationships/hyperlink" Target="mailto:julie.lauwers@syus.be" TargetMode="External"/><Relationship Id="rId138" Type="http://schemas.openxmlformats.org/officeDocument/2006/relationships/hyperlink" Target="https://www.linkedin.com/in/julie-lauwers-0398a153" TargetMode="External"/><Relationship Id="rId139" Type="http://schemas.openxmlformats.org/officeDocument/2006/relationships/hyperlink" Target="https://www.syus.be" TargetMode="External"/><Relationship Id="rId140" Type="http://schemas.openxmlformats.org/officeDocument/2006/relationships/hyperlink" Target="https://www.linkedin.com/in/petr-tmej-1a6b1920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1F1B16"/>
    <pageSetUpPr fitToPage="1"/>
  </sheetPr>
  <dimension ref="A1:F34"/>
  <sheetViews>
    <sheetView workbookViewId="0" showGridLines="0" zoomScale="110" zoomScaleNormal="110"/>
  </sheetViews>
  <sheetFormatPr defaultRowHeight="15"/>
  <cols>
    <col min="1" max="1" width="3" customWidth="1"/>
    <col min="2" max="2" width="30" customWidth="1"/>
    <col min="3" max="3" width="22" customWidth="1"/>
    <col min="4" max="4" width="22" customWidth="1"/>
    <col min="5" max="5" width="22" customWidth="1"/>
    <col min="6" max="6" width="3" customWidth="1"/>
  </cols>
  <sheetData>
    <row r="1">
      <c r="A1" s="54"/>
      <c r="B1" s="54"/>
      <c r="C1" s="54"/>
      <c r="D1" s="54"/>
      <c r="E1" s="54"/>
      <c r="F1" s="54"/>
    </row>
    <row r="2" ht="18" customHeight="1">
      <c r="A2" s="54"/>
      <c r="B2" s="55" t="inlineStr">
        <is>
          <t xml:space="preserve">CLIMATE INSIDERS INVESTOR LISTS</t>
        </is>
      </c>
      <c r="C2" s="54"/>
      <c r="D2" s="54"/>
      <c r="E2" s="54"/>
      <c r="F2" s="54"/>
    </row>
    <row r="3" ht="44" customHeight="1">
      <c r="A3" s="54"/>
      <c r="B3" s="56" t="inlineStr">
        <is>
          <t xml:space="preserve">500 European family office contacts</t>
        </is>
      </c>
      <c r="C3" s="54"/>
      <c r="D3" s="54"/>
      <c r="E3" s="54"/>
      <c r="F3" s="54"/>
    </row>
    <row r="4" ht="20" customHeight="1">
      <c r="A4" s="54"/>
      <c r="B4" s="57" t="inlineStr">
        <is>
          <t xml:space="preserve">Named decision makers across 300+ family offices. 18 countries.</t>
        </is>
      </c>
      <c r="C4" s="54"/>
      <c r="D4" s="54"/>
      <c r="E4" s="54"/>
      <c r="F4" s="54"/>
    </row>
    <row r="5" ht="18" customHeight="1">
      <c r="A5" s="54"/>
      <c r="B5" s="58" t="inlineStr">
        <is>
          <t xml:space="preserve">Prepared for Sam on 27 Oct 2026</t>
        </is>
      </c>
      <c r="C5" s="54"/>
      <c r="D5" s="54"/>
      <c r="E5" s="54"/>
      <c r="F5" s="54"/>
    </row>
    <row r="6" ht="6" customHeight="1">
      <c r="A6" s="54"/>
      <c r="B6" s="59"/>
      <c r="C6" s="59"/>
      <c r="D6" s="59"/>
      <c r="E6" s="59"/>
      <c r="F6" s="54"/>
    </row>
    <row r="7">
      <c r="A7" s="54"/>
      <c r="B7" s="54"/>
      <c r="C7" s="54"/>
      <c r="D7" s="54"/>
      <c r="E7" s="54"/>
      <c r="F7" s="54"/>
    </row>
    <row r="8" ht="36" customHeight="1">
      <c r="A8" s="54"/>
      <c r="B8" s="60">
        <v>62</v>
      </c>
      <c r="C8" s="60">
        <v>50</v>
      </c>
      <c r="D8" s="60">
        <v>60</v>
      </c>
      <c r="E8" s="60">
        <v>5</v>
      </c>
      <c r="F8" s="54"/>
    </row>
    <row r="9" ht="18" customHeight="1">
      <c r="A9" s="54"/>
      <c r="B9" s="61" t="inlineStr">
        <is>
          <t xml:space="preserve">contacts</t>
        </is>
      </c>
      <c r="C9" s="61" t="inlineStr">
        <is>
          <t xml:space="preserve">direct emails</t>
        </is>
      </c>
      <c r="D9" s="61" t="inlineStr">
        <is>
          <t xml:space="preserve">LinkedIn profiles</t>
        </is>
      </c>
      <c r="E9" s="61" t="inlineStr">
        <is>
          <t xml:space="preserve">countries</t>
        </is>
      </c>
      <c r="F9" s="54"/>
    </row>
    <row r="10">
      <c r="A10" s="54"/>
      <c r="B10" s="54"/>
      <c r="C10" s="54"/>
      <c r="D10" s="54"/>
      <c r="E10" s="54"/>
      <c r="F10" s="54"/>
    </row>
    <row r="11" ht="26" customHeight="1">
      <c r="A11" s="54"/>
      <c r="B11" s="62" t="inlineStr">
        <is>
          <t xml:space="preserve">How I'd work this list</t>
        </is>
      </c>
      <c r="C11" s="54"/>
      <c r="D11" s="54"/>
      <c r="E11" s="54"/>
      <c r="F11" s="54"/>
    </row>
    <row r="12" ht="32" customHeight="1">
      <c r="A12" s="64">
        <v>1</v>
      </c>
      <c r="B12" s="63" t="inlineStr">
        <is>
          <t xml:space="preserve">Filter Seniority to "Decision maker" and start there. Fewer emails, better answers.</t>
        </is>
      </c>
      <c r="C12" s="54"/>
      <c r="D12" s="54"/>
      <c r="E12" s="54"/>
      <c r="F12" s="54"/>
    </row>
    <row r="13" ht="32" customHeight="1">
      <c r="A13" s="64">
        <v>2</v>
      </c>
      <c r="B13" s="63" t="inlineStr">
        <is>
          <t xml:space="preserve">Before you write, read their last 3 deals. If you can't say in one line why they'd care, skip them.</t>
        </is>
      </c>
      <c r="C13" s="54"/>
      <c r="D13" s="54"/>
      <c r="E13" s="54"/>
      <c r="F13" s="54"/>
    </row>
    <row r="14" ht="32" customHeight="1">
      <c r="A14" s="64">
        <v>3</v>
      </c>
      <c r="B14" s="63" t="inlineStr">
        <is>
          <t xml:space="preserve">Log every touch in Status and Last touch. The Pipeline tab counts replies and meetings for you.</t>
        </is>
      </c>
      <c r="C14" s="54"/>
      <c r="D14" s="54"/>
      <c r="E14" s="54"/>
      <c r="F14" s="54"/>
    </row>
    <row r="15">
      <c r="A15" s="54"/>
      <c r="B15" s="54"/>
      <c r="C15" s="54"/>
      <c r="D15" s="54"/>
      <c r="E15" s="54"/>
      <c r="F15" s="54"/>
    </row>
    <row r="16" ht="26" customHeight="1">
      <c r="A16" s="54"/>
      <c r="B16" s="62" t="inlineStr">
        <is>
          <t xml:space="preserve">Status colors</t>
        </is>
      </c>
      <c r="C16" s="54"/>
      <c r="D16" s="54"/>
      <c r="E16" s="54"/>
      <c r="F16" s="54"/>
    </row>
    <row r="17" ht="22" customHeight="1">
      <c r="A17" s="54"/>
      <c r="B17" s="65" t="inlineStr">
        <is>
          <t xml:space="preserve">To contact</t>
        </is>
      </c>
      <c r="C17" s="66" t="inlineStr">
        <is>
          <t xml:space="preserve">Researching</t>
        </is>
      </c>
      <c r="D17" s="67" t="inlineStr">
        <is>
          <t xml:space="preserve">Emailed</t>
        </is>
      </c>
      <c r="E17" s="54"/>
      <c r="F17" s="54"/>
    </row>
    <row r="18" ht="22" customHeight="1">
      <c r="A18" s="54"/>
      <c r="B18" s="68" t="inlineStr">
        <is>
          <t xml:space="preserve">Followed up</t>
        </is>
      </c>
      <c r="C18" s="69" t="inlineStr">
        <is>
          <t xml:space="preserve">Replied</t>
        </is>
      </c>
      <c r="D18" s="70" t="inlineStr">
        <is>
          <t xml:space="preserve">Meeting booked</t>
        </is>
      </c>
      <c r="E18" s="54"/>
      <c r="F18" s="54"/>
    </row>
    <row r="19" ht="22" customHeight="1">
      <c r="A19" s="54"/>
      <c r="B19" s="71" t="inlineStr">
        <is>
          <t xml:space="preserve">In diligence</t>
        </is>
      </c>
      <c r="C19" s="72" t="inlineStr">
        <is>
          <t xml:space="preserve">Passed</t>
        </is>
      </c>
      <c r="D19" s="73" t="inlineStr">
        <is>
          <t xml:space="preserve">Not a fit</t>
        </is>
      </c>
      <c r="E19" s="54"/>
      <c r="F19" s="54"/>
    </row>
    <row r="20">
      <c r="A20" s="54"/>
      <c r="B20" s="54"/>
      <c r="C20" s="54"/>
      <c r="D20" s="54"/>
      <c r="E20" s="54"/>
      <c r="F20" s="54"/>
    </row>
    <row r="21" ht="30" customHeight="1">
      <c r="A21" s="54"/>
      <c r="B21" s="74" t="inlineStr">
        <is>
          <t xml:space="preserve">Click the Europe tab below to start. The Status cell on every row is a dropdown.</t>
        </is>
      </c>
      <c r="C21" s="54"/>
      <c r="D21" s="54"/>
      <c r="E21" s="54"/>
      <c r="F21" s="54"/>
    </row>
    <row r="22" ht="22" customHeight="1">
      <c r="A22" s="54"/>
      <c r="B22" s="74" t="inlineStr">
        <is>
          <t xml:space="preserve">Found a wrong row? Reply to the email it came with and I fix it.</t>
        </is>
      </c>
      <c r="C22" s="54"/>
      <c r="D22" s="54"/>
      <c r="E22" s="54"/>
      <c r="F22" s="54"/>
    </row>
    <row r="23">
      <c r="A23" s="54"/>
      <c r="B23" s="54"/>
      <c r="C23" s="54"/>
      <c r="D23" s="54"/>
      <c r="E23" s="54"/>
      <c r="F23" s="54"/>
    </row>
    <row r="24" ht="24" customHeight="1">
      <c r="A24" s="54"/>
      <c r="B24" s="75" t="inlineStr">
        <is>
          <t xml:space="preserve">Yoann</t>
        </is>
      </c>
      <c r="C24" s="54"/>
      <c r="D24" s="54"/>
      <c r="E24" s="54"/>
      <c r="F24" s="54"/>
    </row>
    <row r="25">
      <c r="A25" s="54"/>
      <c r="B25" s="76" t="inlineStr">
        <is>
          <t xml:space="preserve">Climate Insiders</t>
        </is>
      </c>
      <c r="C25" s="54"/>
      <c r="D25" s="54"/>
      <c r="E25" s="54"/>
      <c r="F25" s="54"/>
    </row>
    <row r="26">
      <c r="A26" s="54"/>
      <c r="B26" s="54"/>
      <c r="C26" s="54"/>
      <c r="D26" s="54"/>
      <c r="E26" s="54"/>
      <c r="F26" s="54"/>
    </row>
    <row r="27">
      <c r="A27" s="54"/>
      <c r="B27" s="76" t="inlineStr">
        <is>
          <t xml:space="preserve">Every list:</t>
        </is>
      </c>
      <c r="C27" s="77" t="inlineStr">
        <is>
          <t xml:space="preserve">lists.climateinsiders.com/all</t>
        </is>
      </c>
      <c r="D27" s="54"/>
      <c r="E27" s="54"/>
      <c r="F27" s="54"/>
    </row>
    <row r="28">
      <c r="A28" s="54"/>
      <c r="B28" s="54"/>
      <c r="C28" s="54"/>
      <c r="D28" s="54"/>
      <c r="E28" s="54"/>
      <c r="F28" s="54"/>
    </row>
    <row r="29">
      <c r="A29" s="54"/>
      <c r="B29" s="54"/>
      <c r="C29" s="54"/>
      <c r="D29" s="54"/>
      <c r="E29" s="54"/>
      <c r="F29" s="54"/>
    </row>
    <row r="30">
      <c r="A30" s="54"/>
      <c r="B30" s="54"/>
      <c r="C30" s="54"/>
      <c r="D30" s="54"/>
      <c r="E30" s="54"/>
      <c r="F30" s="54"/>
    </row>
    <row r="31">
      <c r="A31" s="54"/>
      <c r="B31" s="54"/>
      <c r="C31" s="54"/>
      <c r="D31" s="54"/>
      <c r="E31" s="54"/>
      <c r="F31" s="54"/>
    </row>
    <row r="32">
      <c r="A32" s="54"/>
      <c r="B32" s="54"/>
      <c r="C32" s="54"/>
      <c r="D32" s="54"/>
      <c r="E32" s="54"/>
      <c r="F32" s="54"/>
    </row>
    <row r="33">
      <c r="A33" s="54"/>
      <c r="B33" s="54"/>
      <c r="C33" s="54"/>
      <c r="D33" s="54"/>
      <c r="E33" s="54"/>
      <c r="F33" s="54"/>
    </row>
    <row r="34">
      <c r="A34" s="54"/>
      <c r="B34" s="54"/>
      <c r="C34" s="54"/>
      <c r="D34" s="54"/>
      <c r="E34" s="54"/>
      <c r="F34" s="54"/>
    </row>
  </sheetData>
  <mergeCells count="7">
    <mergeCell ref="B3:E3"/>
    <mergeCell ref="B4:E4"/>
    <mergeCell ref="B12:E12"/>
    <mergeCell ref="B13:E13"/>
    <mergeCell ref="B14:E14"/>
    <mergeCell ref="B21:E21"/>
    <mergeCell ref="B22:E22"/>
  </mergeCells>
  <hyperlinks>
    <hyperlink ref="C27" r:id="rId1"/>
  </hyperlinks>
  <pageMargins left="0.4" right="0.4" top="0.5" bottom="0.5" header="0.3" footer="0.3"/>
  <pageSetup orientation="portrait" fitToWidth="1" fitToHeight="0"/>
  <headerFooter>
    <oddFooter>&amp;L&amp;8Climate Insiders Investor Lists&amp;R&amp;8Page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7A1A"/>
    <pageSetUpPr fitToPage="1"/>
  </sheetPr>
  <dimension ref="A1:M66"/>
  <sheetViews>
    <sheetView workbookViewId="0" showGridLines="0" zoomScale="110" zoomScaleNormal="110">
      <pane xSplit="2" ySplit="4" topLeftCell="C5" activePane="bottomRight" state="frozen"/>
      <selection pane="bottomRight" activeCell="C5" sqref="C5"/>
    </sheetView>
  </sheetViews>
  <sheetFormatPr defaultRowHeight="15"/>
  <cols>
    <col min="1" max="1" width="6" customWidth="1"/>
    <col min="2" max="2" width="24" customWidth="1"/>
    <col min="3" max="3" width="34" customWidth="1"/>
    <col min="4" max="4" width="30" customWidth="1"/>
    <col min="5" max="5" width="17" customWidth="1"/>
    <col min="6" max="6" width="34" customWidth="1"/>
    <col min="7" max="7" width="14" customWidth="1"/>
    <col min="8" max="8" width="16" customWidth="1"/>
    <col min="9" max="9" width="16" customWidth="1"/>
    <col min="10" max="10" width="24" customWidth="1"/>
    <col min="11" max="11" width="17" customWidth="1"/>
    <col min="12" max="12" width="13" customWidth="1"/>
    <col min="13" max="13" width="40" customWidth="1"/>
  </cols>
  <sheetData>
    <row r="1" ht="40" customHeight="1">
      <c r="A1" s="1" t="inlineStr">
        <is>
          <t xml:space="preserve">500 European family office contacts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22" customHeight="1">
      <c r="A2" s="2" t="inlineStr">
        <is>
          <t xml:space="preserve">Climate Insiders Investor Lists    |    prepared for Sam, 27 Oct 2026    |    62 contacts, 50 with a direct email    |    most complete rows first</t>
        </is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ht="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ht="28" customHeight="1">
      <c r="A4" s="5" t="inlineStr">
        <is>
          <t xml:space="preserve">#</t>
        </is>
      </c>
      <c r="B4" s="4" t="inlineStr">
        <is>
          <t xml:space="preserve">Name</t>
        </is>
      </c>
      <c r="C4" s="4" t="inlineStr">
        <is>
          <t xml:space="preserve">Title</t>
        </is>
      </c>
      <c r="D4" s="4" t="inlineStr">
        <is>
          <t xml:space="preserve">Firm</t>
        </is>
      </c>
      <c r="E4" s="5" t="inlineStr">
        <is>
          <t xml:space="preserve">Seniority</t>
        </is>
      </c>
      <c r="F4" s="4" t="inlineStr">
        <is>
          <t xml:space="preserve">Email</t>
        </is>
      </c>
      <c r="G4" s="5" t="inlineStr">
        <is>
          <t xml:space="preserve">LinkedIn</t>
        </is>
      </c>
      <c r="H4" s="4" t="inlineStr">
        <is>
          <t xml:space="preserve">City</t>
        </is>
      </c>
      <c r="I4" s="4" t="inlineStr">
        <is>
          <t xml:space="preserve">Country</t>
        </is>
      </c>
      <c r="J4" s="4" t="inlineStr">
        <is>
          <t xml:space="preserve">Website</t>
        </is>
      </c>
      <c r="K4" s="5" t="inlineStr">
        <is>
          <t xml:space="preserve">Status</t>
        </is>
      </c>
      <c r="L4" s="5" t="inlineStr">
        <is>
          <t xml:space="preserve">Last touch</t>
        </is>
      </c>
      <c r="M4" s="4" t="inlineStr">
        <is>
          <t xml:space="preserve">Notes</t>
        </is>
      </c>
    </row>
    <row r="5" ht="21" customHeight="1">
      <c r="A5" s="6">
        <v>1</v>
      </c>
      <c r="B5" s="7" t="inlineStr">
        <is>
          <t xml:space="preserve">Harald Klien</t>
        </is>
      </c>
      <c r="C5" s="8" t="inlineStr">
        <is>
          <t xml:space="preserve">Chief Executive Officer</t>
        </is>
      </c>
      <c r="D5" s="9" t="inlineStr">
        <is>
          <t xml:space="preserve">Cd Invest Consult Gmbh</t>
        </is>
      </c>
      <c r="E5" s="10" t="inlineStr">
        <is>
          <t xml:space="preserve">Decision maker</t>
        </is>
      </c>
      <c r="F5" s="11" t="inlineStr">
        <is>
          <t xml:space="preserve">harald.klien@cdiconsult.com</t>
        </is>
      </c>
      <c r="G5" s="12" t="inlineStr">
        <is>
          <t xml:space="preserve">View profile</t>
        </is>
      </c>
      <c r="H5" s="9" t="inlineStr">
        <is>
          <t xml:space="preserve">Wien</t>
        </is>
      </c>
      <c r="I5" s="9" t="inlineStr">
        <is>
          <t xml:space="preserve">Austria</t>
        </is>
      </c>
      <c r="J5" s="13"/>
      <c r="K5" s="14" t="inlineStr">
        <is>
          <t xml:space="preserve">To contact</t>
        </is>
      </c>
      <c r="L5" s="15"/>
      <c r="M5" s="8"/>
    </row>
    <row r="6" ht="21" customHeight="1">
      <c r="A6" s="16">
        <v>2</v>
      </c>
      <c r="B6" s="17" t="inlineStr">
        <is>
          <t xml:space="preserve">Daniel Gillet</t>
        </is>
      </c>
      <c r="C6" s="18" t="inlineStr">
        <is>
          <t xml:space="preserve">Managing Partner Benelux</t>
        </is>
      </c>
      <c r="D6" s="19" t="inlineStr">
        <is>
          <t xml:space="preserve">Onetoone Corporate Finance</t>
        </is>
      </c>
      <c r="E6" s="10" t="inlineStr">
        <is>
          <t xml:space="preserve">Decision maker</t>
        </is>
      </c>
      <c r="F6" s="20" t="inlineStr">
        <is>
          <t xml:space="preserve">daniel.gillet@onetoonecf.com</t>
        </is>
      </c>
      <c r="G6" s="21" t="inlineStr">
        <is>
          <t xml:space="preserve">View profile</t>
        </is>
      </c>
      <c r="H6" s="19" t="inlineStr">
        <is>
          <t xml:space="preserve">Bruxelles</t>
        </is>
      </c>
      <c r="I6" s="19" t="inlineStr">
        <is>
          <t xml:space="preserve">Belgium</t>
        </is>
      </c>
      <c r="J6" s="22"/>
      <c r="K6" s="23" t="inlineStr">
        <is>
          <t xml:space="preserve">To contact</t>
        </is>
      </c>
      <c r="L6" s="24"/>
      <c r="M6" s="18"/>
    </row>
    <row r="7" ht="21" customHeight="1">
      <c r="A7" s="6">
        <v>3</v>
      </c>
      <c r="B7" s="7" t="inlineStr">
        <is>
          <t xml:space="preserve">Colette Plasman</t>
        </is>
      </c>
      <c r="C7" s="8" t="inlineStr">
        <is>
          <t xml:space="preserve">Co-Founder</t>
        </is>
      </c>
      <c r="D7" s="9" t="inlineStr">
        <is>
          <t xml:space="preserve">E-Spring Capital</t>
        </is>
      </c>
      <c r="E7" s="10" t="inlineStr">
        <is>
          <t xml:space="preserve">Decision maker</t>
        </is>
      </c>
      <c r="F7" s="11" t="inlineStr">
        <is>
          <t xml:space="preserve">colette@espringcapital.eu</t>
        </is>
      </c>
      <c r="G7" s="12" t="inlineStr">
        <is>
          <t xml:space="preserve">View profile</t>
        </is>
      </c>
      <c r="H7" s="9" t="inlineStr">
        <is>
          <t xml:space="preserve">Deurne</t>
        </is>
      </c>
      <c r="I7" s="9" t="inlineStr">
        <is>
          <t xml:space="preserve">Belgium</t>
        </is>
      </c>
      <c r="J7" s="11" t="inlineStr">
        <is>
          <t xml:space="preserve">espringcapital.eu</t>
        </is>
      </c>
      <c r="K7" s="14" t="inlineStr">
        <is>
          <t xml:space="preserve">To contact</t>
        </is>
      </c>
      <c r="L7" s="15"/>
      <c r="M7" s="8"/>
    </row>
    <row r="8" ht="21" customHeight="1">
      <c r="A8" s="16">
        <v>4</v>
      </c>
      <c r="B8" s="17" t="inlineStr">
        <is>
          <t xml:space="preserve">Bart Wouters</t>
        </is>
      </c>
      <c r="C8" s="18" t="inlineStr">
        <is>
          <t xml:space="preserve">Founder &amp; Managing Partner</t>
        </is>
      </c>
      <c r="D8" s="19" t="inlineStr">
        <is>
          <t xml:space="preserve">Strada Partners</t>
        </is>
      </c>
      <c r="E8" s="10" t="inlineStr">
        <is>
          <t xml:space="preserve">Decision maker</t>
        </is>
      </c>
      <c r="F8" s="20" t="inlineStr">
        <is>
          <t xml:space="preserve">bart.wouters@strada-partners.com</t>
        </is>
      </c>
      <c r="G8" s="21" t="inlineStr">
        <is>
          <t xml:space="preserve">View profile</t>
        </is>
      </c>
      <c r="H8" s="19" t="inlineStr">
        <is>
          <t xml:space="preserve">Antwerpen</t>
        </is>
      </c>
      <c r="I8" s="19" t="inlineStr">
        <is>
          <t xml:space="preserve">Belgium</t>
        </is>
      </c>
      <c r="J8" s="20" t="inlineStr">
        <is>
          <t xml:space="preserve">strada-partners.com</t>
        </is>
      </c>
      <c r="K8" s="23" t="inlineStr">
        <is>
          <t xml:space="preserve">To contact</t>
        </is>
      </c>
      <c r="L8" s="24"/>
      <c r="M8" s="18"/>
    </row>
    <row r="9" ht="21" customHeight="1">
      <c r="A9" s="6">
        <v>5</v>
      </c>
      <c r="B9" s="7" t="inlineStr">
        <is>
          <t xml:space="preserve">Julie Lauwers</t>
        </is>
      </c>
      <c r="C9" s="8" t="inlineStr">
        <is>
          <t xml:space="preserve">Investment Director</t>
        </is>
      </c>
      <c r="D9" s="9" t="inlineStr">
        <is>
          <t xml:space="preserve">Syus</t>
        </is>
      </c>
      <c r="E9" s="25" t="inlineStr">
        <is>
          <t xml:space="preserve">Senior</t>
        </is>
      </c>
      <c r="F9" s="11" t="inlineStr">
        <is>
          <t xml:space="preserve">julie.lauwers@syus.be</t>
        </is>
      </c>
      <c r="G9" s="12" t="inlineStr">
        <is>
          <t xml:space="preserve">View profile</t>
        </is>
      </c>
      <c r="H9" s="9" t="inlineStr">
        <is>
          <t xml:space="preserve">Rekkem</t>
        </is>
      </c>
      <c r="I9" s="9" t="inlineStr">
        <is>
          <t xml:space="preserve">Belgium</t>
        </is>
      </c>
      <c r="J9" s="11" t="inlineStr">
        <is>
          <t xml:space="preserve">syus.be</t>
        </is>
      </c>
      <c r="K9" s="14" t="inlineStr">
        <is>
          <t xml:space="preserve">To contact</t>
        </is>
      </c>
      <c r="L9" s="15"/>
      <c r="M9" s="8"/>
    </row>
    <row r="10" ht="21" customHeight="1">
      <c r="A10" s="16">
        <v>6</v>
      </c>
      <c r="B10" s="17" t="inlineStr">
        <is>
          <t xml:space="preserve">Petr Tmej</t>
        </is>
      </c>
      <c r="C10" s="18" t="inlineStr">
        <is>
          <t xml:space="preserve">Investment Analyst</t>
        </is>
      </c>
      <c r="D10" s="19" t="inlineStr">
        <is>
          <t xml:space="preserve">Comfort Zone Investments a.s.</t>
        </is>
      </c>
      <c r="E10" s="26" t="inlineStr">
        <is>
          <t xml:space="preserve">Investment team</t>
        </is>
      </c>
      <c r="F10" s="27" t="inlineStr">
        <is>
          <t xml:space="preserve">reach via LinkedIn</t>
        </is>
      </c>
      <c r="G10" s="21" t="inlineStr">
        <is>
          <t xml:space="preserve">View profile</t>
        </is>
      </c>
      <c r="H10" s="19" t="inlineStr">
        <is>
          <t xml:space="preserve">Nove Straseci</t>
        </is>
      </c>
      <c r="I10" s="19" t="inlineStr">
        <is>
          <t xml:space="preserve">Czech Republic</t>
        </is>
      </c>
      <c r="J10" s="22"/>
      <c r="K10" s="23" t="inlineStr">
        <is>
          <t xml:space="preserve">To contact</t>
        </is>
      </c>
      <c r="L10" s="24"/>
      <c r="M10" s="18"/>
    </row>
    <row r="11" ht="21" customHeight="1">
      <c r="A11" s="6">
        <v>7</v>
      </c>
      <c r="B11" s="7" t="inlineStr">
        <is>
          <t xml:space="preserve">Harald Klien</t>
        </is>
      </c>
      <c r="C11" s="8" t="inlineStr">
        <is>
          <t xml:space="preserve">Chief Executive Officer</t>
        </is>
      </c>
      <c r="D11" s="9" t="inlineStr">
        <is>
          <t xml:space="preserve">Cd Invest Consult Gmbh</t>
        </is>
      </c>
      <c r="E11" s="10" t="inlineStr">
        <is>
          <t xml:space="preserve">Decision maker</t>
        </is>
      </c>
      <c r="F11" s="11" t="inlineStr">
        <is>
          <t xml:space="preserve">harald.klien@cdiconsult.com</t>
        </is>
      </c>
      <c r="G11" s="12" t="inlineStr">
        <is>
          <t xml:space="preserve">View profile</t>
        </is>
      </c>
      <c r="H11" s="9" t="inlineStr">
        <is>
          <t xml:space="preserve">Wien</t>
        </is>
      </c>
      <c r="I11" s="9" t="inlineStr">
        <is>
          <t xml:space="preserve">Austria</t>
        </is>
      </c>
      <c r="J11" s="13"/>
      <c r="K11" s="14" t="inlineStr">
        <is>
          <t xml:space="preserve">To contact</t>
        </is>
      </c>
      <c r="L11" s="15"/>
      <c r="M11" s="8"/>
    </row>
    <row r="12" ht="21" customHeight="1">
      <c r="A12" s="16">
        <v>8</v>
      </c>
      <c r="B12" s="17" t="inlineStr">
        <is>
          <t xml:space="preserve">Daniel Gillet</t>
        </is>
      </c>
      <c r="C12" s="18" t="inlineStr">
        <is>
          <t xml:space="preserve">Managing Partner Benelux</t>
        </is>
      </c>
      <c r="D12" s="19" t="inlineStr">
        <is>
          <t xml:space="preserve">Onetoone Corporate Finance</t>
        </is>
      </c>
      <c r="E12" s="10" t="inlineStr">
        <is>
          <t xml:space="preserve">Decision maker</t>
        </is>
      </c>
      <c r="F12" s="20" t="inlineStr">
        <is>
          <t xml:space="preserve">daniel.gillet@onetoonecf.com</t>
        </is>
      </c>
      <c r="G12" s="21" t="inlineStr">
        <is>
          <t xml:space="preserve">View profile</t>
        </is>
      </c>
      <c r="H12" s="19" t="inlineStr">
        <is>
          <t xml:space="preserve">Bruxelles</t>
        </is>
      </c>
      <c r="I12" s="19" t="inlineStr">
        <is>
          <t xml:space="preserve">Belgium</t>
        </is>
      </c>
      <c r="J12" s="22"/>
      <c r="K12" s="23" t="inlineStr">
        <is>
          <t xml:space="preserve">To contact</t>
        </is>
      </c>
      <c r="L12" s="24"/>
      <c r="M12" s="18"/>
    </row>
    <row r="13" ht="21" customHeight="1">
      <c r="A13" s="6">
        <v>9</v>
      </c>
      <c r="B13" s="7" t="inlineStr">
        <is>
          <t xml:space="preserve">Colette Plasman</t>
        </is>
      </c>
      <c r="C13" s="8" t="inlineStr">
        <is>
          <t xml:space="preserve">Co-Founder</t>
        </is>
      </c>
      <c r="D13" s="9" t="inlineStr">
        <is>
          <t xml:space="preserve">E-Spring Capital</t>
        </is>
      </c>
      <c r="E13" s="10" t="inlineStr">
        <is>
          <t xml:space="preserve">Decision maker</t>
        </is>
      </c>
      <c r="F13" s="11" t="inlineStr">
        <is>
          <t xml:space="preserve">colette@espringcapital.eu</t>
        </is>
      </c>
      <c r="G13" s="12" t="inlineStr">
        <is>
          <t xml:space="preserve">View profile</t>
        </is>
      </c>
      <c r="H13" s="9" t="inlineStr">
        <is>
          <t xml:space="preserve">Deurne</t>
        </is>
      </c>
      <c r="I13" s="9" t="inlineStr">
        <is>
          <t xml:space="preserve">Belgium</t>
        </is>
      </c>
      <c r="J13" s="11" t="inlineStr">
        <is>
          <t xml:space="preserve">espringcapital.eu</t>
        </is>
      </c>
      <c r="K13" s="14" t="inlineStr">
        <is>
          <t xml:space="preserve">To contact</t>
        </is>
      </c>
      <c r="L13" s="15"/>
      <c r="M13" s="8"/>
    </row>
    <row r="14" ht="21" customHeight="1">
      <c r="A14" s="16">
        <v>10</v>
      </c>
      <c r="B14" s="17" t="inlineStr">
        <is>
          <t xml:space="preserve">Bart Wouters</t>
        </is>
      </c>
      <c r="C14" s="18" t="inlineStr">
        <is>
          <t xml:space="preserve">Founder &amp; Managing Partner</t>
        </is>
      </c>
      <c r="D14" s="19" t="inlineStr">
        <is>
          <t xml:space="preserve">Strada Partners</t>
        </is>
      </c>
      <c r="E14" s="10" t="inlineStr">
        <is>
          <t xml:space="preserve">Decision maker</t>
        </is>
      </c>
      <c r="F14" s="20" t="inlineStr">
        <is>
          <t xml:space="preserve">bart.wouters@strada-partners.com</t>
        </is>
      </c>
      <c r="G14" s="21" t="inlineStr">
        <is>
          <t xml:space="preserve">View profile</t>
        </is>
      </c>
      <c r="H14" s="19" t="inlineStr">
        <is>
          <t xml:space="preserve">Antwerpen</t>
        </is>
      </c>
      <c r="I14" s="19" t="inlineStr">
        <is>
          <t xml:space="preserve">Belgium</t>
        </is>
      </c>
      <c r="J14" s="20" t="inlineStr">
        <is>
          <t xml:space="preserve">strada-partners.com</t>
        </is>
      </c>
      <c r="K14" s="23" t="inlineStr">
        <is>
          <t xml:space="preserve">To contact</t>
        </is>
      </c>
      <c r="L14" s="24"/>
      <c r="M14" s="18"/>
    </row>
    <row r="15" ht="21" customHeight="1">
      <c r="A15" s="6">
        <v>11</v>
      </c>
      <c r="B15" s="7" t="inlineStr">
        <is>
          <t xml:space="preserve">Julie Lauwers</t>
        </is>
      </c>
      <c r="C15" s="8" t="inlineStr">
        <is>
          <t xml:space="preserve">Investment Director</t>
        </is>
      </c>
      <c r="D15" s="9" t="inlineStr">
        <is>
          <t xml:space="preserve">Syus</t>
        </is>
      </c>
      <c r="E15" s="25" t="inlineStr">
        <is>
          <t xml:space="preserve">Senior</t>
        </is>
      </c>
      <c r="F15" s="11" t="inlineStr">
        <is>
          <t xml:space="preserve">julie.lauwers@syus.be</t>
        </is>
      </c>
      <c r="G15" s="12" t="inlineStr">
        <is>
          <t xml:space="preserve">View profile</t>
        </is>
      </c>
      <c r="H15" s="9" t="inlineStr">
        <is>
          <t xml:space="preserve">Rekkem</t>
        </is>
      </c>
      <c r="I15" s="9" t="inlineStr">
        <is>
          <t xml:space="preserve">Belgium</t>
        </is>
      </c>
      <c r="J15" s="11" t="inlineStr">
        <is>
          <t xml:space="preserve">syus.be</t>
        </is>
      </c>
      <c r="K15" s="14" t="inlineStr">
        <is>
          <t xml:space="preserve">To contact</t>
        </is>
      </c>
      <c r="L15" s="15"/>
      <c r="M15" s="8"/>
    </row>
    <row r="16" ht="21" customHeight="1">
      <c r="A16" s="16">
        <v>12</v>
      </c>
      <c r="B16" s="17" t="inlineStr">
        <is>
          <t xml:space="preserve">Petr Tmej</t>
        </is>
      </c>
      <c r="C16" s="18" t="inlineStr">
        <is>
          <t xml:space="preserve">Investment Analyst</t>
        </is>
      </c>
      <c r="D16" s="19" t="inlineStr">
        <is>
          <t xml:space="preserve">Comfort Zone Investments a.s.</t>
        </is>
      </c>
      <c r="E16" s="26" t="inlineStr">
        <is>
          <t xml:space="preserve">Investment team</t>
        </is>
      </c>
      <c r="F16" s="27" t="inlineStr">
        <is>
          <t xml:space="preserve">reach via LinkedIn</t>
        </is>
      </c>
      <c r="G16" s="21" t="inlineStr">
        <is>
          <t xml:space="preserve">View profile</t>
        </is>
      </c>
      <c r="H16" s="19" t="inlineStr">
        <is>
          <t xml:space="preserve">Nove Straseci</t>
        </is>
      </c>
      <c r="I16" s="19" t="inlineStr">
        <is>
          <t xml:space="preserve">Czech Republic</t>
        </is>
      </c>
      <c r="J16" s="22"/>
      <c r="K16" s="23" t="inlineStr">
        <is>
          <t xml:space="preserve">To contact</t>
        </is>
      </c>
      <c r="L16" s="24"/>
      <c r="M16" s="18"/>
    </row>
    <row r="17" ht="21" customHeight="1">
      <c r="A17" s="6">
        <v>13</v>
      </c>
      <c r="B17" s="7" t="inlineStr">
        <is>
          <t xml:space="preserve">Harald Klien</t>
        </is>
      </c>
      <c r="C17" s="8" t="inlineStr">
        <is>
          <t xml:space="preserve">Chief Executive Officer</t>
        </is>
      </c>
      <c r="D17" s="9" t="inlineStr">
        <is>
          <t xml:space="preserve">Cd Invest Consult Gmbh</t>
        </is>
      </c>
      <c r="E17" s="10" t="inlineStr">
        <is>
          <t xml:space="preserve">Decision maker</t>
        </is>
      </c>
      <c r="F17" s="11" t="inlineStr">
        <is>
          <t xml:space="preserve">harald.klien@cdiconsult.com</t>
        </is>
      </c>
      <c r="G17" s="12" t="inlineStr">
        <is>
          <t xml:space="preserve">View profile</t>
        </is>
      </c>
      <c r="H17" s="9" t="inlineStr">
        <is>
          <t xml:space="preserve">Wien</t>
        </is>
      </c>
      <c r="I17" s="9" t="inlineStr">
        <is>
          <t xml:space="preserve">Austria</t>
        </is>
      </c>
      <c r="J17" s="13"/>
      <c r="K17" s="14" t="inlineStr">
        <is>
          <t xml:space="preserve">To contact</t>
        </is>
      </c>
      <c r="L17" s="15"/>
      <c r="M17" s="8"/>
    </row>
    <row r="18" ht="21" customHeight="1">
      <c r="A18" s="16">
        <v>14</v>
      </c>
      <c r="B18" s="17" t="inlineStr">
        <is>
          <t xml:space="preserve">Daniel Gillet</t>
        </is>
      </c>
      <c r="C18" s="18" t="inlineStr">
        <is>
          <t xml:space="preserve">Managing Partner Benelux</t>
        </is>
      </c>
      <c r="D18" s="19" t="inlineStr">
        <is>
          <t xml:space="preserve">Onetoone Corporate Finance</t>
        </is>
      </c>
      <c r="E18" s="10" t="inlineStr">
        <is>
          <t xml:space="preserve">Decision maker</t>
        </is>
      </c>
      <c r="F18" s="20" t="inlineStr">
        <is>
          <t xml:space="preserve">daniel.gillet@onetoonecf.com</t>
        </is>
      </c>
      <c r="G18" s="21" t="inlineStr">
        <is>
          <t xml:space="preserve">View profile</t>
        </is>
      </c>
      <c r="H18" s="19" t="inlineStr">
        <is>
          <t xml:space="preserve">Bruxelles</t>
        </is>
      </c>
      <c r="I18" s="19" t="inlineStr">
        <is>
          <t xml:space="preserve">Belgium</t>
        </is>
      </c>
      <c r="J18" s="22"/>
      <c r="K18" s="23" t="inlineStr">
        <is>
          <t xml:space="preserve">To contact</t>
        </is>
      </c>
      <c r="L18" s="24"/>
      <c r="M18" s="18"/>
    </row>
    <row r="19" ht="21" customHeight="1">
      <c r="A19" s="6">
        <v>15</v>
      </c>
      <c r="B19" s="7" t="inlineStr">
        <is>
          <t xml:space="preserve">Colette Plasman</t>
        </is>
      </c>
      <c r="C19" s="8" t="inlineStr">
        <is>
          <t xml:space="preserve">Co-Founder</t>
        </is>
      </c>
      <c r="D19" s="9" t="inlineStr">
        <is>
          <t xml:space="preserve">E-Spring Capital</t>
        </is>
      </c>
      <c r="E19" s="10" t="inlineStr">
        <is>
          <t xml:space="preserve">Decision maker</t>
        </is>
      </c>
      <c r="F19" s="11" t="inlineStr">
        <is>
          <t xml:space="preserve">colette@espringcapital.eu</t>
        </is>
      </c>
      <c r="G19" s="12" t="inlineStr">
        <is>
          <t xml:space="preserve">View profile</t>
        </is>
      </c>
      <c r="H19" s="9" t="inlineStr">
        <is>
          <t xml:space="preserve">Deurne</t>
        </is>
      </c>
      <c r="I19" s="9" t="inlineStr">
        <is>
          <t xml:space="preserve">Belgium</t>
        </is>
      </c>
      <c r="J19" s="11" t="inlineStr">
        <is>
          <t xml:space="preserve">espringcapital.eu</t>
        </is>
      </c>
      <c r="K19" s="14" t="inlineStr">
        <is>
          <t xml:space="preserve">To contact</t>
        </is>
      </c>
      <c r="L19" s="15"/>
      <c r="M19" s="8"/>
    </row>
    <row r="20" ht="21" customHeight="1">
      <c r="A20" s="16">
        <v>16</v>
      </c>
      <c r="B20" s="17" t="inlineStr">
        <is>
          <t xml:space="preserve">Bart Wouters</t>
        </is>
      </c>
      <c r="C20" s="18" t="inlineStr">
        <is>
          <t xml:space="preserve">Founder &amp; Managing Partner</t>
        </is>
      </c>
      <c r="D20" s="19" t="inlineStr">
        <is>
          <t xml:space="preserve">Strada Partners</t>
        </is>
      </c>
      <c r="E20" s="10" t="inlineStr">
        <is>
          <t xml:space="preserve">Decision maker</t>
        </is>
      </c>
      <c r="F20" s="20" t="inlineStr">
        <is>
          <t xml:space="preserve">bart.wouters@strada-partners.com</t>
        </is>
      </c>
      <c r="G20" s="21" t="inlineStr">
        <is>
          <t xml:space="preserve">View profile</t>
        </is>
      </c>
      <c r="H20" s="19" t="inlineStr">
        <is>
          <t xml:space="preserve">Antwerpen</t>
        </is>
      </c>
      <c r="I20" s="19" t="inlineStr">
        <is>
          <t xml:space="preserve">Belgium</t>
        </is>
      </c>
      <c r="J20" s="20" t="inlineStr">
        <is>
          <t xml:space="preserve">strada-partners.com</t>
        </is>
      </c>
      <c r="K20" s="23" t="inlineStr">
        <is>
          <t xml:space="preserve">To contact</t>
        </is>
      </c>
      <c r="L20" s="24"/>
      <c r="M20" s="18"/>
    </row>
    <row r="21" ht="21" customHeight="1">
      <c r="A21" s="6">
        <v>17</v>
      </c>
      <c r="B21" s="7" t="inlineStr">
        <is>
          <t xml:space="preserve">Julie Lauwers</t>
        </is>
      </c>
      <c r="C21" s="8" t="inlineStr">
        <is>
          <t xml:space="preserve">Investment Director</t>
        </is>
      </c>
      <c r="D21" s="9" t="inlineStr">
        <is>
          <t xml:space="preserve">Syus</t>
        </is>
      </c>
      <c r="E21" s="25" t="inlineStr">
        <is>
          <t xml:space="preserve">Senior</t>
        </is>
      </c>
      <c r="F21" s="11" t="inlineStr">
        <is>
          <t xml:space="preserve">julie.lauwers@syus.be</t>
        </is>
      </c>
      <c r="G21" s="12" t="inlineStr">
        <is>
          <t xml:space="preserve">View profile</t>
        </is>
      </c>
      <c r="H21" s="9" t="inlineStr">
        <is>
          <t xml:space="preserve">Rekkem</t>
        </is>
      </c>
      <c r="I21" s="9" t="inlineStr">
        <is>
          <t xml:space="preserve">Belgium</t>
        </is>
      </c>
      <c r="J21" s="11" t="inlineStr">
        <is>
          <t xml:space="preserve">syus.be</t>
        </is>
      </c>
      <c r="K21" s="14" t="inlineStr">
        <is>
          <t xml:space="preserve">To contact</t>
        </is>
      </c>
      <c r="L21" s="15"/>
      <c r="M21" s="8"/>
    </row>
    <row r="22" ht="21" customHeight="1">
      <c r="A22" s="16">
        <v>18</v>
      </c>
      <c r="B22" s="17" t="inlineStr">
        <is>
          <t xml:space="preserve">Petr Tmej</t>
        </is>
      </c>
      <c r="C22" s="18" t="inlineStr">
        <is>
          <t xml:space="preserve">Investment Analyst</t>
        </is>
      </c>
      <c r="D22" s="19" t="inlineStr">
        <is>
          <t xml:space="preserve">Comfort Zone Investments a.s.</t>
        </is>
      </c>
      <c r="E22" s="26" t="inlineStr">
        <is>
          <t xml:space="preserve">Investment team</t>
        </is>
      </c>
      <c r="F22" s="27" t="inlineStr">
        <is>
          <t xml:space="preserve">reach via LinkedIn</t>
        </is>
      </c>
      <c r="G22" s="21" t="inlineStr">
        <is>
          <t xml:space="preserve">View profile</t>
        </is>
      </c>
      <c r="H22" s="19" t="inlineStr">
        <is>
          <t xml:space="preserve">Nove Straseci</t>
        </is>
      </c>
      <c r="I22" s="19" t="inlineStr">
        <is>
          <t xml:space="preserve">Czech Republic</t>
        </is>
      </c>
      <c r="J22" s="22"/>
      <c r="K22" s="23" t="inlineStr">
        <is>
          <t xml:space="preserve">To contact</t>
        </is>
      </c>
      <c r="L22" s="24"/>
      <c r="M22" s="18"/>
    </row>
    <row r="23" ht="21" customHeight="1">
      <c r="A23" s="6">
        <v>19</v>
      </c>
      <c r="B23" s="7" t="inlineStr">
        <is>
          <t xml:space="preserve">Harald Klien</t>
        </is>
      </c>
      <c r="C23" s="8" t="inlineStr">
        <is>
          <t xml:space="preserve">Chief Executive Officer</t>
        </is>
      </c>
      <c r="D23" s="9" t="inlineStr">
        <is>
          <t xml:space="preserve">Cd Invest Consult Gmbh</t>
        </is>
      </c>
      <c r="E23" s="10" t="inlineStr">
        <is>
          <t xml:space="preserve">Decision maker</t>
        </is>
      </c>
      <c r="F23" s="11" t="inlineStr">
        <is>
          <t xml:space="preserve">harald.klien@cdiconsult.com</t>
        </is>
      </c>
      <c r="G23" s="12" t="inlineStr">
        <is>
          <t xml:space="preserve">View profile</t>
        </is>
      </c>
      <c r="H23" s="9" t="inlineStr">
        <is>
          <t xml:space="preserve">Wien</t>
        </is>
      </c>
      <c r="I23" s="9" t="inlineStr">
        <is>
          <t xml:space="preserve">Austria</t>
        </is>
      </c>
      <c r="J23" s="13"/>
      <c r="K23" s="14" t="inlineStr">
        <is>
          <t xml:space="preserve">To contact</t>
        </is>
      </c>
      <c r="L23" s="15"/>
      <c r="M23" s="8"/>
    </row>
    <row r="24" ht="21" customHeight="1">
      <c r="A24" s="16">
        <v>20</v>
      </c>
      <c r="B24" s="17" t="inlineStr">
        <is>
          <t xml:space="preserve">Daniel Gillet</t>
        </is>
      </c>
      <c r="C24" s="18" t="inlineStr">
        <is>
          <t xml:space="preserve">Managing Partner Benelux</t>
        </is>
      </c>
      <c r="D24" s="19" t="inlineStr">
        <is>
          <t xml:space="preserve">Onetoone Corporate Finance</t>
        </is>
      </c>
      <c r="E24" s="10" t="inlineStr">
        <is>
          <t xml:space="preserve">Decision maker</t>
        </is>
      </c>
      <c r="F24" s="20" t="inlineStr">
        <is>
          <t xml:space="preserve">daniel.gillet@onetoonecf.com</t>
        </is>
      </c>
      <c r="G24" s="21" t="inlineStr">
        <is>
          <t xml:space="preserve">View profile</t>
        </is>
      </c>
      <c r="H24" s="19" t="inlineStr">
        <is>
          <t xml:space="preserve">Bruxelles</t>
        </is>
      </c>
      <c r="I24" s="19" t="inlineStr">
        <is>
          <t xml:space="preserve">Belgium</t>
        </is>
      </c>
      <c r="J24" s="22"/>
      <c r="K24" s="23" t="inlineStr">
        <is>
          <t xml:space="preserve">To contact</t>
        </is>
      </c>
      <c r="L24" s="24"/>
      <c r="M24" s="18"/>
    </row>
    <row r="25" ht="21" customHeight="1">
      <c r="A25" s="6">
        <v>21</v>
      </c>
      <c r="B25" s="7" t="inlineStr">
        <is>
          <t xml:space="preserve">Colette Plasman</t>
        </is>
      </c>
      <c r="C25" s="8" t="inlineStr">
        <is>
          <t xml:space="preserve">Co-Founder</t>
        </is>
      </c>
      <c r="D25" s="9" t="inlineStr">
        <is>
          <t xml:space="preserve">E-Spring Capital</t>
        </is>
      </c>
      <c r="E25" s="10" t="inlineStr">
        <is>
          <t xml:space="preserve">Decision maker</t>
        </is>
      </c>
      <c r="F25" s="11" t="inlineStr">
        <is>
          <t xml:space="preserve">colette@espringcapital.eu</t>
        </is>
      </c>
      <c r="G25" s="12" t="inlineStr">
        <is>
          <t xml:space="preserve">View profile</t>
        </is>
      </c>
      <c r="H25" s="9" t="inlineStr">
        <is>
          <t xml:space="preserve">Deurne</t>
        </is>
      </c>
      <c r="I25" s="9" t="inlineStr">
        <is>
          <t xml:space="preserve">Belgium</t>
        </is>
      </c>
      <c r="J25" s="11" t="inlineStr">
        <is>
          <t xml:space="preserve">espringcapital.eu</t>
        </is>
      </c>
      <c r="K25" s="14" t="inlineStr">
        <is>
          <t xml:space="preserve">To contact</t>
        </is>
      </c>
      <c r="L25" s="15"/>
      <c r="M25" s="8"/>
    </row>
    <row r="26" ht="21" customHeight="1">
      <c r="A26" s="16">
        <v>22</v>
      </c>
      <c r="B26" s="17" t="inlineStr">
        <is>
          <t xml:space="preserve">Bart Wouters</t>
        </is>
      </c>
      <c r="C26" s="18" t="inlineStr">
        <is>
          <t xml:space="preserve">Founder &amp; Managing Partner</t>
        </is>
      </c>
      <c r="D26" s="19" t="inlineStr">
        <is>
          <t xml:space="preserve">Strada Partners</t>
        </is>
      </c>
      <c r="E26" s="10" t="inlineStr">
        <is>
          <t xml:space="preserve">Decision maker</t>
        </is>
      </c>
      <c r="F26" s="20" t="inlineStr">
        <is>
          <t xml:space="preserve">bart.wouters@strada-partners.com</t>
        </is>
      </c>
      <c r="G26" s="21" t="inlineStr">
        <is>
          <t xml:space="preserve">View profile</t>
        </is>
      </c>
      <c r="H26" s="19" t="inlineStr">
        <is>
          <t xml:space="preserve">Antwerpen</t>
        </is>
      </c>
      <c r="I26" s="19" t="inlineStr">
        <is>
          <t xml:space="preserve">Belgium</t>
        </is>
      </c>
      <c r="J26" s="20" t="inlineStr">
        <is>
          <t xml:space="preserve">strada-partners.com</t>
        </is>
      </c>
      <c r="K26" s="23" t="inlineStr">
        <is>
          <t xml:space="preserve">To contact</t>
        </is>
      </c>
      <c r="L26" s="24"/>
      <c r="M26" s="18"/>
    </row>
    <row r="27" ht="21" customHeight="1">
      <c r="A27" s="6">
        <v>23</v>
      </c>
      <c r="B27" s="7" t="inlineStr">
        <is>
          <t xml:space="preserve">Julie Lauwers</t>
        </is>
      </c>
      <c r="C27" s="8" t="inlineStr">
        <is>
          <t xml:space="preserve">Investment Director</t>
        </is>
      </c>
      <c r="D27" s="9" t="inlineStr">
        <is>
          <t xml:space="preserve">Syus</t>
        </is>
      </c>
      <c r="E27" s="25" t="inlineStr">
        <is>
          <t xml:space="preserve">Senior</t>
        </is>
      </c>
      <c r="F27" s="11" t="inlineStr">
        <is>
          <t xml:space="preserve">julie.lauwers@syus.be</t>
        </is>
      </c>
      <c r="G27" s="12" t="inlineStr">
        <is>
          <t xml:space="preserve">View profile</t>
        </is>
      </c>
      <c r="H27" s="9" t="inlineStr">
        <is>
          <t xml:space="preserve">Rekkem</t>
        </is>
      </c>
      <c r="I27" s="9" t="inlineStr">
        <is>
          <t xml:space="preserve">Belgium</t>
        </is>
      </c>
      <c r="J27" s="11" t="inlineStr">
        <is>
          <t xml:space="preserve">syus.be</t>
        </is>
      </c>
      <c r="K27" s="14" t="inlineStr">
        <is>
          <t xml:space="preserve">To contact</t>
        </is>
      </c>
      <c r="L27" s="15"/>
      <c r="M27" s="8"/>
    </row>
    <row r="28" ht="21" customHeight="1">
      <c r="A28" s="16">
        <v>24</v>
      </c>
      <c r="B28" s="17" t="inlineStr">
        <is>
          <t xml:space="preserve">Petr Tmej</t>
        </is>
      </c>
      <c r="C28" s="18" t="inlineStr">
        <is>
          <t xml:space="preserve">Investment Analyst</t>
        </is>
      </c>
      <c r="D28" s="19" t="inlineStr">
        <is>
          <t xml:space="preserve">Comfort Zone Investments a.s.</t>
        </is>
      </c>
      <c r="E28" s="26" t="inlineStr">
        <is>
          <t xml:space="preserve">Investment team</t>
        </is>
      </c>
      <c r="F28" s="27" t="inlineStr">
        <is>
          <t xml:space="preserve">reach via LinkedIn</t>
        </is>
      </c>
      <c r="G28" s="21" t="inlineStr">
        <is>
          <t xml:space="preserve">View profile</t>
        </is>
      </c>
      <c r="H28" s="19" t="inlineStr">
        <is>
          <t xml:space="preserve">Nove Straseci</t>
        </is>
      </c>
      <c r="I28" s="19" t="inlineStr">
        <is>
          <t xml:space="preserve">Czech Republic</t>
        </is>
      </c>
      <c r="J28" s="22"/>
      <c r="K28" s="23" t="inlineStr">
        <is>
          <t xml:space="preserve">To contact</t>
        </is>
      </c>
      <c r="L28" s="24"/>
      <c r="M28" s="18"/>
    </row>
    <row r="29" ht="21" customHeight="1">
      <c r="A29" s="6">
        <v>25</v>
      </c>
      <c r="B29" s="7" t="inlineStr">
        <is>
          <t xml:space="preserve">Harald Klien</t>
        </is>
      </c>
      <c r="C29" s="8" t="inlineStr">
        <is>
          <t xml:space="preserve">Chief Executive Officer</t>
        </is>
      </c>
      <c r="D29" s="9" t="inlineStr">
        <is>
          <t xml:space="preserve">Cd Invest Consult Gmbh</t>
        </is>
      </c>
      <c r="E29" s="10" t="inlineStr">
        <is>
          <t xml:space="preserve">Decision maker</t>
        </is>
      </c>
      <c r="F29" s="11" t="inlineStr">
        <is>
          <t xml:space="preserve">harald.klien@cdiconsult.com</t>
        </is>
      </c>
      <c r="G29" s="12" t="inlineStr">
        <is>
          <t xml:space="preserve">View profile</t>
        </is>
      </c>
      <c r="H29" s="9" t="inlineStr">
        <is>
          <t xml:space="preserve">Wien</t>
        </is>
      </c>
      <c r="I29" s="9" t="inlineStr">
        <is>
          <t xml:space="preserve">Austria</t>
        </is>
      </c>
      <c r="J29" s="13"/>
      <c r="K29" s="14" t="inlineStr">
        <is>
          <t xml:space="preserve">To contact</t>
        </is>
      </c>
      <c r="L29" s="15"/>
      <c r="M29" s="8"/>
    </row>
    <row r="30" ht="21" customHeight="1">
      <c r="A30" s="16">
        <v>26</v>
      </c>
      <c r="B30" s="17" t="inlineStr">
        <is>
          <t xml:space="preserve">Daniel Gillet</t>
        </is>
      </c>
      <c r="C30" s="18" t="inlineStr">
        <is>
          <t xml:space="preserve">Managing Partner Benelux</t>
        </is>
      </c>
      <c r="D30" s="19" t="inlineStr">
        <is>
          <t xml:space="preserve">Onetoone Corporate Finance</t>
        </is>
      </c>
      <c r="E30" s="10" t="inlineStr">
        <is>
          <t xml:space="preserve">Decision maker</t>
        </is>
      </c>
      <c r="F30" s="20" t="inlineStr">
        <is>
          <t xml:space="preserve">daniel.gillet@onetoonecf.com</t>
        </is>
      </c>
      <c r="G30" s="21" t="inlineStr">
        <is>
          <t xml:space="preserve">View profile</t>
        </is>
      </c>
      <c r="H30" s="19" t="inlineStr">
        <is>
          <t xml:space="preserve">Bruxelles</t>
        </is>
      </c>
      <c r="I30" s="19" t="inlineStr">
        <is>
          <t xml:space="preserve">Belgium</t>
        </is>
      </c>
      <c r="J30" s="22"/>
      <c r="K30" s="23" t="inlineStr">
        <is>
          <t xml:space="preserve">To contact</t>
        </is>
      </c>
      <c r="L30" s="24"/>
      <c r="M30" s="18"/>
    </row>
    <row r="31" ht="21" customHeight="1">
      <c r="A31" s="6">
        <v>27</v>
      </c>
      <c r="B31" s="7" t="inlineStr">
        <is>
          <t xml:space="preserve">Colette Plasman</t>
        </is>
      </c>
      <c r="C31" s="8" t="inlineStr">
        <is>
          <t xml:space="preserve">Co-Founder</t>
        </is>
      </c>
      <c r="D31" s="9" t="inlineStr">
        <is>
          <t xml:space="preserve">E-Spring Capital</t>
        </is>
      </c>
      <c r="E31" s="10" t="inlineStr">
        <is>
          <t xml:space="preserve">Decision maker</t>
        </is>
      </c>
      <c r="F31" s="11" t="inlineStr">
        <is>
          <t xml:space="preserve">colette@espringcapital.eu</t>
        </is>
      </c>
      <c r="G31" s="12" t="inlineStr">
        <is>
          <t xml:space="preserve">View profile</t>
        </is>
      </c>
      <c r="H31" s="9" t="inlineStr">
        <is>
          <t xml:space="preserve">Deurne</t>
        </is>
      </c>
      <c r="I31" s="9" t="inlineStr">
        <is>
          <t xml:space="preserve">Belgium</t>
        </is>
      </c>
      <c r="J31" s="11" t="inlineStr">
        <is>
          <t xml:space="preserve">espringcapital.eu</t>
        </is>
      </c>
      <c r="K31" s="14" t="inlineStr">
        <is>
          <t xml:space="preserve">To contact</t>
        </is>
      </c>
      <c r="L31" s="15"/>
      <c r="M31" s="8"/>
    </row>
    <row r="32" ht="21" customHeight="1">
      <c r="A32" s="16">
        <v>28</v>
      </c>
      <c r="B32" s="17" t="inlineStr">
        <is>
          <t xml:space="preserve">Bart Wouters</t>
        </is>
      </c>
      <c r="C32" s="18" t="inlineStr">
        <is>
          <t xml:space="preserve">Founder &amp; Managing Partner</t>
        </is>
      </c>
      <c r="D32" s="19" t="inlineStr">
        <is>
          <t xml:space="preserve">Strada Partners</t>
        </is>
      </c>
      <c r="E32" s="10" t="inlineStr">
        <is>
          <t xml:space="preserve">Decision maker</t>
        </is>
      </c>
      <c r="F32" s="20" t="inlineStr">
        <is>
          <t xml:space="preserve">bart.wouters@strada-partners.com</t>
        </is>
      </c>
      <c r="G32" s="21" t="inlineStr">
        <is>
          <t xml:space="preserve">View profile</t>
        </is>
      </c>
      <c r="H32" s="19" t="inlineStr">
        <is>
          <t xml:space="preserve">Antwerpen</t>
        </is>
      </c>
      <c r="I32" s="19" t="inlineStr">
        <is>
          <t xml:space="preserve">Belgium</t>
        </is>
      </c>
      <c r="J32" s="20" t="inlineStr">
        <is>
          <t xml:space="preserve">strada-partners.com</t>
        </is>
      </c>
      <c r="K32" s="23" t="inlineStr">
        <is>
          <t xml:space="preserve">To contact</t>
        </is>
      </c>
      <c r="L32" s="24"/>
      <c r="M32" s="18"/>
    </row>
    <row r="33" ht="21" customHeight="1">
      <c r="A33" s="6">
        <v>29</v>
      </c>
      <c r="B33" s="7" t="inlineStr">
        <is>
          <t xml:space="preserve">Julie Lauwers</t>
        </is>
      </c>
      <c r="C33" s="8" t="inlineStr">
        <is>
          <t xml:space="preserve">Investment Director</t>
        </is>
      </c>
      <c r="D33" s="9" t="inlineStr">
        <is>
          <t xml:space="preserve">Syus</t>
        </is>
      </c>
      <c r="E33" s="25" t="inlineStr">
        <is>
          <t xml:space="preserve">Senior</t>
        </is>
      </c>
      <c r="F33" s="11" t="inlineStr">
        <is>
          <t xml:space="preserve">julie.lauwers@syus.be</t>
        </is>
      </c>
      <c r="G33" s="12" t="inlineStr">
        <is>
          <t xml:space="preserve">View profile</t>
        </is>
      </c>
      <c r="H33" s="9" t="inlineStr">
        <is>
          <t xml:space="preserve">Rekkem</t>
        </is>
      </c>
      <c r="I33" s="9" t="inlineStr">
        <is>
          <t xml:space="preserve">Belgium</t>
        </is>
      </c>
      <c r="J33" s="11" t="inlineStr">
        <is>
          <t xml:space="preserve">syus.be</t>
        </is>
      </c>
      <c r="K33" s="14" t="inlineStr">
        <is>
          <t xml:space="preserve">To contact</t>
        </is>
      </c>
      <c r="L33" s="15"/>
      <c r="M33" s="8"/>
    </row>
    <row r="34" ht="21" customHeight="1">
      <c r="A34" s="16">
        <v>30</v>
      </c>
      <c r="B34" s="17" t="inlineStr">
        <is>
          <t xml:space="preserve">Petr Tmej</t>
        </is>
      </c>
      <c r="C34" s="18" t="inlineStr">
        <is>
          <t xml:space="preserve">Investment Analyst</t>
        </is>
      </c>
      <c r="D34" s="19" t="inlineStr">
        <is>
          <t xml:space="preserve">Comfort Zone Investments a.s.</t>
        </is>
      </c>
      <c r="E34" s="26" t="inlineStr">
        <is>
          <t xml:space="preserve">Investment team</t>
        </is>
      </c>
      <c r="F34" s="27" t="inlineStr">
        <is>
          <t xml:space="preserve">reach via LinkedIn</t>
        </is>
      </c>
      <c r="G34" s="21" t="inlineStr">
        <is>
          <t xml:space="preserve">View profile</t>
        </is>
      </c>
      <c r="H34" s="19" t="inlineStr">
        <is>
          <t xml:space="preserve">Nove Straseci</t>
        </is>
      </c>
      <c r="I34" s="19" t="inlineStr">
        <is>
          <t xml:space="preserve">Czech Republic</t>
        </is>
      </c>
      <c r="J34" s="22"/>
      <c r="K34" s="23" t="inlineStr">
        <is>
          <t xml:space="preserve">To contact</t>
        </is>
      </c>
      <c r="L34" s="24"/>
      <c r="M34" s="18"/>
    </row>
    <row r="35" ht="21" customHeight="1">
      <c r="A35" s="6">
        <v>31</v>
      </c>
      <c r="B35" s="7" t="inlineStr">
        <is>
          <t xml:space="preserve">Harald Klien</t>
        </is>
      </c>
      <c r="C35" s="8" t="inlineStr">
        <is>
          <t xml:space="preserve">Chief Executive Officer</t>
        </is>
      </c>
      <c r="D35" s="9" t="inlineStr">
        <is>
          <t xml:space="preserve">Cd Invest Consult Gmbh</t>
        </is>
      </c>
      <c r="E35" s="10" t="inlineStr">
        <is>
          <t xml:space="preserve">Decision maker</t>
        </is>
      </c>
      <c r="F35" s="11" t="inlineStr">
        <is>
          <t xml:space="preserve">harald.klien@cdiconsult.com</t>
        </is>
      </c>
      <c r="G35" s="12" t="inlineStr">
        <is>
          <t xml:space="preserve">View profile</t>
        </is>
      </c>
      <c r="H35" s="9" t="inlineStr">
        <is>
          <t xml:space="preserve">Wien</t>
        </is>
      </c>
      <c r="I35" s="9" t="inlineStr">
        <is>
          <t xml:space="preserve">Austria</t>
        </is>
      </c>
      <c r="J35" s="13"/>
      <c r="K35" s="14" t="inlineStr">
        <is>
          <t xml:space="preserve">To contact</t>
        </is>
      </c>
      <c r="L35" s="15"/>
      <c r="M35" s="8"/>
    </row>
    <row r="36" ht="21" customHeight="1">
      <c r="A36" s="16">
        <v>32</v>
      </c>
      <c r="B36" s="17" t="inlineStr">
        <is>
          <t xml:space="preserve">Daniel Gillet</t>
        </is>
      </c>
      <c r="C36" s="18" t="inlineStr">
        <is>
          <t xml:space="preserve">Managing Partner Benelux</t>
        </is>
      </c>
      <c r="D36" s="19" t="inlineStr">
        <is>
          <t xml:space="preserve">Onetoone Corporate Finance</t>
        </is>
      </c>
      <c r="E36" s="10" t="inlineStr">
        <is>
          <t xml:space="preserve">Decision maker</t>
        </is>
      </c>
      <c r="F36" s="20" t="inlineStr">
        <is>
          <t xml:space="preserve">daniel.gillet@onetoonecf.com</t>
        </is>
      </c>
      <c r="G36" s="21" t="inlineStr">
        <is>
          <t xml:space="preserve">View profile</t>
        </is>
      </c>
      <c r="H36" s="19" t="inlineStr">
        <is>
          <t xml:space="preserve">Bruxelles</t>
        </is>
      </c>
      <c r="I36" s="19" t="inlineStr">
        <is>
          <t xml:space="preserve">Belgium</t>
        </is>
      </c>
      <c r="J36" s="22"/>
      <c r="K36" s="23" t="inlineStr">
        <is>
          <t xml:space="preserve">To contact</t>
        </is>
      </c>
      <c r="L36" s="24"/>
      <c r="M36" s="18"/>
    </row>
    <row r="37" ht="21" customHeight="1">
      <c r="A37" s="6">
        <v>33</v>
      </c>
      <c r="B37" s="7" t="inlineStr">
        <is>
          <t xml:space="preserve">Colette Plasman</t>
        </is>
      </c>
      <c r="C37" s="8" t="inlineStr">
        <is>
          <t xml:space="preserve">Co-Founder</t>
        </is>
      </c>
      <c r="D37" s="9" t="inlineStr">
        <is>
          <t xml:space="preserve">E-Spring Capital</t>
        </is>
      </c>
      <c r="E37" s="10" t="inlineStr">
        <is>
          <t xml:space="preserve">Decision maker</t>
        </is>
      </c>
      <c r="F37" s="11" t="inlineStr">
        <is>
          <t xml:space="preserve">colette@espringcapital.eu</t>
        </is>
      </c>
      <c r="G37" s="12" t="inlineStr">
        <is>
          <t xml:space="preserve">View profile</t>
        </is>
      </c>
      <c r="H37" s="9" t="inlineStr">
        <is>
          <t xml:space="preserve">Deurne</t>
        </is>
      </c>
      <c r="I37" s="9" t="inlineStr">
        <is>
          <t xml:space="preserve">Belgium</t>
        </is>
      </c>
      <c r="J37" s="11" t="inlineStr">
        <is>
          <t xml:space="preserve">espringcapital.eu</t>
        </is>
      </c>
      <c r="K37" s="14" t="inlineStr">
        <is>
          <t xml:space="preserve">To contact</t>
        </is>
      </c>
      <c r="L37" s="15"/>
      <c r="M37" s="8"/>
    </row>
    <row r="38" ht="21" customHeight="1">
      <c r="A38" s="16">
        <v>34</v>
      </c>
      <c r="B38" s="17" t="inlineStr">
        <is>
          <t xml:space="preserve">Bart Wouters</t>
        </is>
      </c>
      <c r="C38" s="18" t="inlineStr">
        <is>
          <t xml:space="preserve">Founder &amp; Managing Partner</t>
        </is>
      </c>
      <c r="D38" s="19" t="inlineStr">
        <is>
          <t xml:space="preserve">Strada Partners</t>
        </is>
      </c>
      <c r="E38" s="10" t="inlineStr">
        <is>
          <t xml:space="preserve">Decision maker</t>
        </is>
      </c>
      <c r="F38" s="20" t="inlineStr">
        <is>
          <t xml:space="preserve">bart.wouters@strada-partners.com</t>
        </is>
      </c>
      <c r="G38" s="21" t="inlineStr">
        <is>
          <t xml:space="preserve">View profile</t>
        </is>
      </c>
      <c r="H38" s="19" t="inlineStr">
        <is>
          <t xml:space="preserve">Antwerpen</t>
        </is>
      </c>
      <c r="I38" s="19" t="inlineStr">
        <is>
          <t xml:space="preserve">Belgium</t>
        </is>
      </c>
      <c r="J38" s="20" t="inlineStr">
        <is>
          <t xml:space="preserve">strada-partners.com</t>
        </is>
      </c>
      <c r="K38" s="23" t="inlineStr">
        <is>
          <t xml:space="preserve">To contact</t>
        </is>
      </c>
      <c r="L38" s="24"/>
      <c r="M38" s="18"/>
    </row>
    <row r="39" ht="21" customHeight="1">
      <c r="A39" s="6">
        <v>35</v>
      </c>
      <c r="B39" s="7" t="inlineStr">
        <is>
          <t xml:space="preserve">Julie Lauwers</t>
        </is>
      </c>
      <c r="C39" s="8" t="inlineStr">
        <is>
          <t xml:space="preserve">Investment Director</t>
        </is>
      </c>
      <c r="D39" s="9" t="inlineStr">
        <is>
          <t xml:space="preserve">Syus</t>
        </is>
      </c>
      <c r="E39" s="25" t="inlineStr">
        <is>
          <t xml:space="preserve">Senior</t>
        </is>
      </c>
      <c r="F39" s="11" t="inlineStr">
        <is>
          <t xml:space="preserve">julie.lauwers@syus.be</t>
        </is>
      </c>
      <c r="G39" s="12" t="inlineStr">
        <is>
          <t xml:space="preserve">View profile</t>
        </is>
      </c>
      <c r="H39" s="9" t="inlineStr">
        <is>
          <t xml:space="preserve">Rekkem</t>
        </is>
      </c>
      <c r="I39" s="9" t="inlineStr">
        <is>
          <t xml:space="preserve">Belgium</t>
        </is>
      </c>
      <c r="J39" s="11" t="inlineStr">
        <is>
          <t xml:space="preserve">syus.be</t>
        </is>
      </c>
      <c r="K39" s="14" t="inlineStr">
        <is>
          <t xml:space="preserve">To contact</t>
        </is>
      </c>
      <c r="L39" s="15"/>
      <c r="M39" s="8"/>
    </row>
    <row r="40" ht="21" customHeight="1">
      <c r="A40" s="16">
        <v>36</v>
      </c>
      <c r="B40" s="17" t="inlineStr">
        <is>
          <t xml:space="preserve">Petr Tmej</t>
        </is>
      </c>
      <c r="C40" s="18" t="inlineStr">
        <is>
          <t xml:space="preserve">Investment Analyst</t>
        </is>
      </c>
      <c r="D40" s="19" t="inlineStr">
        <is>
          <t xml:space="preserve">Comfort Zone Investments a.s.</t>
        </is>
      </c>
      <c r="E40" s="26" t="inlineStr">
        <is>
          <t xml:space="preserve">Investment team</t>
        </is>
      </c>
      <c r="F40" s="27" t="inlineStr">
        <is>
          <t xml:space="preserve">reach via LinkedIn</t>
        </is>
      </c>
      <c r="G40" s="21" t="inlineStr">
        <is>
          <t xml:space="preserve">View profile</t>
        </is>
      </c>
      <c r="H40" s="19" t="inlineStr">
        <is>
          <t xml:space="preserve">Nove Straseci</t>
        </is>
      </c>
      <c r="I40" s="19" t="inlineStr">
        <is>
          <t xml:space="preserve">Czech Republic</t>
        </is>
      </c>
      <c r="J40" s="22"/>
      <c r="K40" s="23" t="inlineStr">
        <is>
          <t xml:space="preserve">To contact</t>
        </is>
      </c>
      <c r="L40" s="24"/>
      <c r="M40" s="18"/>
    </row>
    <row r="41" ht="21" customHeight="1">
      <c r="A41" s="6">
        <v>37</v>
      </c>
      <c r="B41" s="7" t="inlineStr">
        <is>
          <t xml:space="preserve">Harald Klien</t>
        </is>
      </c>
      <c r="C41" s="8" t="inlineStr">
        <is>
          <t xml:space="preserve">Chief Executive Officer</t>
        </is>
      </c>
      <c r="D41" s="9" t="inlineStr">
        <is>
          <t xml:space="preserve">Cd Invest Consult Gmbh</t>
        </is>
      </c>
      <c r="E41" s="10" t="inlineStr">
        <is>
          <t xml:space="preserve">Decision maker</t>
        </is>
      </c>
      <c r="F41" s="11" t="inlineStr">
        <is>
          <t xml:space="preserve">harald.klien@cdiconsult.com</t>
        </is>
      </c>
      <c r="G41" s="12" t="inlineStr">
        <is>
          <t xml:space="preserve">View profile</t>
        </is>
      </c>
      <c r="H41" s="9" t="inlineStr">
        <is>
          <t xml:space="preserve">Wien</t>
        </is>
      </c>
      <c r="I41" s="9" t="inlineStr">
        <is>
          <t xml:space="preserve">Austria</t>
        </is>
      </c>
      <c r="J41" s="13"/>
      <c r="K41" s="14" t="inlineStr">
        <is>
          <t xml:space="preserve">To contact</t>
        </is>
      </c>
      <c r="L41" s="15"/>
      <c r="M41" s="8"/>
    </row>
    <row r="42" ht="21" customHeight="1">
      <c r="A42" s="16">
        <v>38</v>
      </c>
      <c r="B42" s="17" t="inlineStr">
        <is>
          <t xml:space="preserve">Daniel Gillet</t>
        </is>
      </c>
      <c r="C42" s="18" t="inlineStr">
        <is>
          <t xml:space="preserve">Managing Partner Benelux</t>
        </is>
      </c>
      <c r="D42" s="19" t="inlineStr">
        <is>
          <t xml:space="preserve">Onetoone Corporate Finance</t>
        </is>
      </c>
      <c r="E42" s="10" t="inlineStr">
        <is>
          <t xml:space="preserve">Decision maker</t>
        </is>
      </c>
      <c r="F42" s="20" t="inlineStr">
        <is>
          <t xml:space="preserve">daniel.gillet@onetoonecf.com</t>
        </is>
      </c>
      <c r="G42" s="21" t="inlineStr">
        <is>
          <t xml:space="preserve">View profile</t>
        </is>
      </c>
      <c r="H42" s="19" t="inlineStr">
        <is>
          <t xml:space="preserve">Bruxelles</t>
        </is>
      </c>
      <c r="I42" s="19" t="inlineStr">
        <is>
          <t xml:space="preserve">Belgium</t>
        </is>
      </c>
      <c r="J42" s="22"/>
      <c r="K42" s="23" t="inlineStr">
        <is>
          <t xml:space="preserve">To contact</t>
        </is>
      </c>
      <c r="L42" s="24"/>
      <c r="M42" s="18"/>
    </row>
    <row r="43" ht="21" customHeight="1">
      <c r="A43" s="6">
        <v>39</v>
      </c>
      <c r="B43" s="7" t="inlineStr">
        <is>
          <t xml:space="preserve">Colette Plasman</t>
        </is>
      </c>
      <c r="C43" s="8" t="inlineStr">
        <is>
          <t xml:space="preserve">Co-Founder</t>
        </is>
      </c>
      <c r="D43" s="9" t="inlineStr">
        <is>
          <t xml:space="preserve">E-Spring Capital</t>
        </is>
      </c>
      <c r="E43" s="10" t="inlineStr">
        <is>
          <t xml:space="preserve">Decision maker</t>
        </is>
      </c>
      <c r="F43" s="11" t="inlineStr">
        <is>
          <t xml:space="preserve">colette@espringcapital.eu</t>
        </is>
      </c>
      <c r="G43" s="12" t="inlineStr">
        <is>
          <t xml:space="preserve">View profile</t>
        </is>
      </c>
      <c r="H43" s="9" t="inlineStr">
        <is>
          <t xml:space="preserve">Deurne</t>
        </is>
      </c>
      <c r="I43" s="9" t="inlineStr">
        <is>
          <t xml:space="preserve">Belgium</t>
        </is>
      </c>
      <c r="J43" s="11" t="inlineStr">
        <is>
          <t xml:space="preserve">espringcapital.eu</t>
        </is>
      </c>
      <c r="K43" s="14" t="inlineStr">
        <is>
          <t xml:space="preserve">To contact</t>
        </is>
      </c>
      <c r="L43" s="15"/>
      <c r="M43" s="8"/>
    </row>
    <row r="44" ht="21" customHeight="1">
      <c r="A44" s="16">
        <v>40</v>
      </c>
      <c r="B44" s="17" t="inlineStr">
        <is>
          <t xml:space="preserve">Bart Wouters</t>
        </is>
      </c>
      <c r="C44" s="18" t="inlineStr">
        <is>
          <t xml:space="preserve">Founder &amp; Managing Partner</t>
        </is>
      </c>
      <c r="D44" s="19" t="inlineStr">
        <is>
          <t xml:space="preserve">Strada Partners</t>
        </is>
      </c>
      <c r="E44" s="10" t="inlineStr">
        <is>
          <t xml:space="preserve">Decision maker</t>
        </is>
      </c>
      <c r="F44" s="20" t="inlineStr">
        <is>
          <t xml:space="preserve">bart.wouters@strada-partners.com</t>
        </is>
      </c>
      <c r="G44" s="21" t="inlineStr">
        <is>
          <t xml:space="preserve">View profile</t>
        </is>
      </c>
      <c r="H44" s="19" t="inlineStr">
        <is>
          <t xml:space="preserve">Antwerpen</t>
        </is>
      </c>
      <c r="I44" s="19" t="inlineStr">
        <is>
          <t xml:space="preserve">Belgium</t>
        </is>
      </c>
      <c r="J44" s="20" t="inlineStr">
        <is>
          <t xml:space="preserve">strada-partners.com</t>
        </is>
      </c>
      <c r="K44" s="23" t="inlineStr">
        <is>
          <t xml:space="preserve">To contact</t>
        </is>
      </c>
      <c r="L44" s="24"/>
      <c r="M44" s="18"/>
    </row>
    <row r="45" ht="21" customHeight="1">
      <c r="A45" s="6">
        <v>41</v>
      </c>
      <c r="B45" s="7" t="inlineStr">
        <is>
          <t xml:space="preserve">Julie Lauwers</t>
        </is>
      </c>
      <c r="C45" s="8" t="inlineStr">
        <is>
          <t xml:space="preserve">Investment Director</t>
        </is>
      </c>
      <c r="D45" s="9" t="inlineStr">
        <is>
          <t xml:space="preserve">Syus</t>
        </is>
      </c>
      <c r="E45" s="25" t="inlineStr">
        <is>
          <t xml:space="preserve">Senior</t>
        </is>
      </c>
      <c r="F45" s="11" t="inlineStr">
        <is>
          <t xml:space="preserve">julie.lauwers@syus.be</t>
        </is>
      </c>
      <c r="G45" s="12" t="inlineStr">
        <is>
          <t xml:space="preserve">View profile</t>
        </is>
      </c>
      <c r="H45" s="9" t="inlineStr">
        <is>
          <t xml:space="preserve">Rekkem</t>
        </is>
      </c>
      <c r="I45" s="9" t="inlineStr">
        <is>
          <t xml:space="preserve">Belgium</t>
        </is>
      </c>
      <c r="J45" s="11" t="inlineStr">
        <is>
          <t xml:space="preserve">syus.be</t>
        </is>
      </c>
      <c r="K45" s="14" t="inlineStr">
        <is>
          <t xml:space="preserve">To contact</t>
        </is>
      </c>
      <c r="L45" s="15"/>
      <c r="M45" s="8"/>
    </row>
    <row r="46" ht="21" customHeight="1">
      <c r="A46" s="16">
        <v>42</v>
      </c>
      <c r="B46" s="17" t="inlineStr">
        <is>
          <t xml:space="preserve">Petr Tmej</t>
        </is>
      </c>
      <c r="C46" s="18" t="inlineStr">
        <is>
          <t xml:space="preserve">Investment Analyst</t>
        </is>
      </c>
      <c r="D46" s="19" t="inlineStr">
        <is>
          <t xml:space="preserve">Comfort Zone Investments a.s.</t>
        </is>
      </c>
      <c r="E46" s="26" t="inlineStr">
        <is>
          <t xml:space="preserve">Investment team</t>
        </is>
      </c>
      <c r="F46" s="27" t="inlineStr">
        <is>
          <t xml:space="preserve">reach via LinkedIn</t>
        </is>
      </c>
      <c r="G46" s="21" t="inlineStr">
        <is>
          <t xml:space="preserve">View profile</t>
        </is>
      </c>
      <c r="H46" s="19" t="inlineStr">
        <is>
          <t xml:space="preserve">Nove Straseci</t>
        </is>
      </c>
      <c r="I46" s="19" t="inlineStr">
        <is>
          <t xml:space="preserve">Czech Republic</t>
        </is>
      </c>
      <c r="J46" s="22"/>
      <c r="K46" s="23" t="inlineStr">
        <is>
          <t xml:space="preserve">To contact</t>
        </is>
      </c>
      <c r="L46" s="24"/>
      <c r="M46" s="18"/>
    </row>
    <row r="47" ht="21" customHeight="1">
      <c r="A47" s="6">
        <v>43</v>
      </c>
      <c r="B47" s="7" t="inlineStr">
        <is>
          <t xml:space="preserve">Harald Klien</t>
        </is>
      </c>
      <c r="C47" s="8" t="inlineStr">
        <is>
          <t xml:space="preserve">Chief Executive Officer</t>
        </is>
      </c>
      <c r="D47" s="9" t="inlineStr">
        <is>
          <t xml:space="preserve">Cd Invest Consult Gmbh</t>
        </is>
      </c>
      <c r="E47" s="10" t="inlineStr">
        <is>
          <t xml:space="preserve">Decision maker</t>
        </is>
      </c>
      <c r="F47" s="11" t="inlineStr">
        <is>
          <t xml:space="preserve">harald.klien@cdiconsult.com</t>
        </is>
      </c>
      <c r="G47" s="12" t="inlineStr">
        <is>
          <t xml:space="preserve">View profile</t>
        </is>
      </c>
      <c r="H47" s="9" t="inlineStr">
        <is>
          <t xml:space="preserve">Wien</t>
        </is>
      </c>
      <c r="I47" s="9" t="inlineStr">
        <is>
          <t xml:space="preserve">Austria</t>
        </is>
      </c>
      <c r="J47" s="13"/>
      <c r="K47" s="14" t="inlineStr">
        <is>
          <t xml:space="preserve">To contact</t>
        </is>
      </c>
      <c r="L47" s="15"/>
      <c r="M47" s="8"/>
    </row>
    <row r="48" ht="21" customHeight="1">
      <c r="A48" s="16">
        <v>44</v>
      </c>
      <c r="B48" s="17" t="inlineStr">
        <is>
          <t xml:space="preserve">Daniel Gillet</t>
        </is>
      </c>
      <c r="C48" s="18" t="inlineStr">
        <is>
          <t xml:space="preserve">Managing Partner Benelux</t>
        </is>
      </c>
      <c r="D48" s="19" t="inlineStr">
        <is>
          <t xml:space="preserve">Onetoone Corporate Finance</t>
        </is>
      </c>
      <c r="E48" s="10" t="inlineStr">
        <is>
          <t xml:space="preserve">Decision maker</t>
        </is>
      </c>
      <c r="F48" s="20" t="inlineStr">
        <is>
          <t xml:space="preserve">daniel.gillet@onetoonecf.com</t>
        </is>
      </c>
      <c r="G48" s="21" t="inlineStr">
        <is>
          <t xml:space="preserve">View profile</t>
        </is>
      </c>
      <c r="H48" s="19" t="inlineStr">
        <is>
          <t xml:space="preserve">Bruxelles</t>
        </is>
      </c>
      <c r="I48" s="19" t="inlineStr">
        <is>
          <t xml:space="preserve">Belgium</t>
        </is>
      </c>
      <c r="J48" s="22"/>
      <c r="K48" s="23" t="inlineStr">
        <is>
          <t xml:space="preserve">To contact</t>
        </is>
      </c>
      <c r="L48" s="24"/>
      <c r="M48" s="18"/>
    </row>
    <row r="49" ht="21" customHeight="1">
      <c r="A49" s="6">
        <v>45</v>
      </c>
      <c r="B49" s="7" t="inlineStr">
        <is>
          <t xml:space="preserve">Colette Plasman</t>
        </is>
      </c>
      <c r="C49" s="8" t="inlineStr">
        <is>
          <t xml:space="preserve">Co-Founder</t>
        </is>
      </c>
      <c r="D49" s="9" t="inlineStr">
        <is>
          <t xml:space="preserve">E-Spring Capital</t>
        </is>
      </c>
      <c r="E49" s="10" t="inlineStr">
        <is>
          <t xml:space="preserve">Decision maker</t>
        </is>
      </c>
      <c r="F49" s="11" t="inlineStr">
        <is>
          <t xml:space="preserve">colette@espringcapital.eu</t>
        </is>
      </c>
      <c r="G49" s="12" t="inlineStr">
        <is>
          <t xml:space="preserve">View profile</t>
        </is>
      </c>
      <c r="H49" s="9" t="inlineStr">
        <is>
          <t xml:space="preserve">Deurne</t>
        </is>
      </c>
      <c r="I49" s="9" t="inlineStr">
        <is>
          <t xml:space="preserve">Belgium</t>
        </is>
      </c>
      <c r="J49" s="11" t="inlineStr">
        <is>
          <t xml:space="preserve">espringcapital.eu</t>
        </is>
      </c>
      <c r="K49" s="14" t="inlineStr">
        <is>
          <t xml:space="preserve">To contact</t>
        </is>
      </c>
      <c r="L49" s="15"/>
      <c r="M49" s="8"/>
    </row>
    <row r="50" ht="21" customHeight="1">
      <c r="A50" s="16">
        <v>46</v>
      </c>
      <c r="B50" s="17" t="inlineStr">
        <is>
          <t xml:space="preserve">Bart Wouters</t>
        </is>
      </c>
      <c r="C50" s="18" t="inlineStr">
        <is>
          <t xml:space="preserve">Founder &amp; Managing Partner</t>
        </is>
      </c>
      <c r="D50" s="19" t="inlineStr">
        <is>
          <t xml:space="preserve">Strada Partners</t>
        </is>
      </c>
      <c r="E50" s="10" t="inlineStr">
        <is>
          <t xml:space="preserve">Decision maker</t>
        </is>
      </c>
      <c r="F50" s="20" t="inlineStr">
        <is>
          <t xml:space="preserve">bart.wouters@strada-partners.com</t>
        </is>
      </c>
      <c r="G50" s="21" t="inlineStr">
        <is>
          <t xml:space="preserve">View profile</t>
        </is>
      </c>
      <c r="H50" s="19" t="inlineStr">
        <is>
          <t xml:space="preserve">Antwerpen</t>
        </is>
      </c>
      <c r="I50" s="19" t="inlineStr">
        <is>
          <t xml:space="preserve">Belgium</t>
        </is>
      </c>
      <c r="J50" s="20" t="inlineStr">
        <is>
          <t xml:space="preserve">strada-partners.com</t>
        </is>
      </c>
      <c r="K50" s="23" t="inlineStr">
        <is>
          <t xml:space="preserve">To contact</t>
        </is>
      </c>
      <c r="L50" s="24"/>
      <c r="M50" s="18"/>
    </row>
    <row r="51" ht="21" customHeight="1">
      <c r="A51" s="6">
        <v>47</v>
      </c>
      <c r="B51" s="7" t="inlineStr">
        <is>
          <t xml:space="preserve">Julie Lauwers</t>
        </is>
      </c>
      <c r="C51" s="8" t="inlineStr">
        <is>
          <t xml:space="preserve">Investment Director</t>
        </is>
      </c>
      <c r="D51" s="9" t="inlineStr">
        <is>
          <t xml:space="preserve">Syus</t>
        </is>
      </c>
      <c r="E51" s="25" t="inlineStr">
        <is>
          <t xml:space="preserve">Senior</t>
        </is>
      </c>
      <c r="F51" s="11" t="inlineStr">
        <is>
          <t xml:space="preserve">julie.lauwers@syus.be</t>
        </is>
      </c>
      <c r="G51" s="12" t="inlineStr">
        <is>
          <t xml:space="preserve">View profile</t>
        </is>
      </c>
      <c r="H51" s="9" t="inlineStr">
        <is>
          <t xml:space="preserve">Rekkem</t>
        </is>
      </c>
      <c r="I51" s="9" t="inlineStr">
        <is>
          <t xml:space="preserve">Belgium</t>
        </is>
      </c>
      <c r="J51" s="11" t="inlineStr">
        <is>
          <t xml:space="preserve">syus.be</t>
        </is>
      </c>
      <c r="K51" s="14" t="inlineStr">
        <is>
          <t xml:space="preserve">To contact</t>
        </is>
      </c>
      <c r="L51" s="15"/>
      <c r="M51" s="8"/>
    </row>
    <row r="52" ht="21" customHeight="1">
      <c r="A52" s="16">
        <v>48</v>
      </c>
      <c r="B52" s="17" t="inlineStr">
        <is>
          <t xml:space="preserve">Petr Tmej</t>
        </is>
      </c>
      <c r="C52" s="18" t="inlineStr">
        <is>
          <t xml:space="preserve">Investment Analyst</t>
        </is>
      </c>
      <c r="D52" s="19" t="inlineStr">
        <is>
          <t xml:space="preserve">Comfort Zone Investments a.s.</t>
        </is>
      </c>
      <c r="E52" s="26" t="inlineStr">
        <is>
          <t xml:space="preserve">Investment team</t>
        </is>
      </c>
      <c r="F52" s="27" t="inlineStr">
        <is>
          <t xml:space="preserve">reach via LinkedIn</t>
        </is>
      </c>
      <c r="G52" s="21" t="inlineStr">
        <is>
          <t xml:space="preserve">View profile</t>
        </is>
      </c>
      <c r="H52" s="19" t="inlineStr">
        <is>
          <t xml:space="preserve">Nove Straseci</t>
        </is>
      </c>
      <c r="I52" s="19" t="inlineStr">
        <is>
          <t xml:space="preserve">Czech Republic</t>
        </is>
      </c>
      <c r="J52" s="22"/>
      <c r="K52" s="23" t="inlineStr">
        <is>
          <t xml:space="preserve">To contact</t>
        </is>
      </c>
      <c r="L52" s="24"/>
      <c r="M52" s="18"/>
    </row>
    <row r="53" ht="21" customHeight="1">
      <c r="A53" s="6">
        <v>49</v>
      </c>
      <c r="B53" s="7" t="inlineStr">
        <is>
          <t xml:space="preserve">Harald Klien</t>
        </is>
      </c>
      <c r="C53" s="8" t="inlineStr">
        <is>
          <t xml:space="preserve">Chief Executive Officer</t>
        </is>
      </c>
      <c r="D53" s="9" t="inlineStr">
        <is>
          <t xml:space="preserve">Cd Invest Consult Gmbh</t>
        </is>
      </c>
      <c r="E53" s="10" t="inlineStr">
        <is>
          <t xml:space="preserve">Decision maker</t>
        </is>
      </c>
      <c r="F53" s="11" t="inlineStr">
        <is>
          <t xml:space="preserve">harald.klien@cdiconsult.com</t>
        </is>
      </c>
      <c r="G53" s="12" t="inlineStr">
        <is>
          <t xml:space="preserve">View profile</t>
        </is>
      </c>
      <c r="H53" s="9" t="inlineStr">
        <is>
          <t xml:space="preserve">Wien</t>
        </is>
      </c>
      <c r="I53" s="9" t="inlineStr">
        <is>
          <t xml:space="preserve">Austria</t>
        </is>
      </c>
      <c r="J53" s="13"/>
      <c r="K53" s="14" t="inlineStr">
        <is>
          <t xml:space="preserve">To contact</t>
        </is>
      </c>
      <c r="L53" s="15"/>
      <c r="M53" s="8"/>
    </row>
    <row r="54" ht="21" customHeight="1">
      <c r="A54" s="16">
        <v>50</v>
      </c>
      <c r="B54" s="17" t="inlineStr">
        <is>
          <t xml:space="preserve">Daniel Gillet</t>
        </is>
      </c>
      <c r="C54" s="18" t="inlineStr">
        <is>
          <t xml:space="preserve">Managing Partner Benelux</t>
        </is>
      </c>
      <c r="D54" s="19" t="inlineStr">
        <is>
          <t xml:space="preserve">Onetoone Corporate Finance</t>
        </is>
      </c>
      <c r="E54" s="10" t="inlineStr">
        <is>
          <t xml:space="preserve">Decision maker</t>
        </is>
      </c>
      <c r="F54" s="20" t="inlineStr">
        <is>
          <t xml:space="preserve">daniel.gillet@onetoonecf.com</t>
        </is>
      </c>
      <c r="G54" s="21" t="inlineStr">
        <is>
          <t xml:space="preserve">View profile</t>
        </is>
      </c>
      <c r="H54" s="19" t="inlineStr">
        <is>
          <t xml:space="preserve">Bruxelles</t>
        </is>
      </c>
      <c r="I54" s="19" t="inlineStr">
        <is>
          <t xml:space="preserve">Belgium</t>
        </is>
      </c>
      <c r="J54" s="22"/>
      <c r="K54" s="23" t="inlineStr">
        <is>
          <t xml:space="preserve">To contact</t>
        </is>
      </c>
      <c r="L54" s="24"/>
      <c r="M54" s="18"/>
    </row>
    <row r="55" ht="21" customHeight="1">
      <c r="A55" s="6">
        <v>51</v>
      </c>
      <c r="B55" s="7" t="inlineStr">
        <is>
          <t xml:space="preserve">Colette Plasman</t>
        </is>
      </c>
      <c r="C55" s="8" t="inlineStr">
        <is>
          <t xml:space="preserve">Co-Founder</t>
        </is>
      </c>
      <c r="D55" s="9" t="inlineStr">
        <is>
          <t xml:space="preserve">E-Spring Capital</t>
        </is>
      </c>
      <c r="E55" s="10" t="inlineStr">
        <is>
          <t xml:space="preserve">Decision maker</t>
        </is>
      </c>
      <c r="F55" s="11" t="inlineStr">
        <is>
          <t xml:space="preserve">colette@espringcapital.eu</t>
        </is>
      </c>
      <c r="G55" s="12" t="inlineStr">
        <is>
          <t xml:space="preserve">View profile</t>
        </is>
      </c>
      <c r="H55" s="9" t="inlineStr">
        <is>
          <t xml:space="preserve">Deurne</t>
        </is>
      </c>
      <c r="I55" s="9" t="inlineStr">
        <is>
          <t xml:space="preserve">Belgium</t>
        </is>
      </c>
      <c r="J55" s="11" t="inlineStr">
        <is>
          <t xml:space="preserve">espringcapital.eu</t>
        </is>
      </c>
      <c r="K55" s="14" t="inlineStr">
        <is>
          <t xml:space="preserve">To contact</t>
        </is>
      </c>
      <c r="L55" s="15"/>
      <c r="M55" s="8"/>
    </row>
    <row r="56" ht="21" customHeight="1">
      <c r="A56" s="16">
        <v>52</v>
      </c>
      <c r="B56" s="17" t="inlineStr">
        <is>
          <t xml:space="preserve">Bart Wouters</t>
        </is>
      </c>
      <c r="C56" s="18" t="inlineStr">
        <is>
          <t xml:space="preserve">Founder &amp; Managing Partner</t>
        </is>
      </c>
      <c r="D56" s="19" t="inlineStr">
        <is>
          <t xml:space="preserve">Strada Partners</t>
        </is>
      </c>
      <c r="E56" s="10" t="inlineStr">
        <is>
          <t xml:space="preserve">Decision maker</t>
        </is>
      </c>
      <c r="F56" s="20" t="inlineStr">
        <is>
          <t xml:space="preserve">bart.wouters@strada-partners.com</t>
        </is>
      </c>
      <c r="G56" s="21" t="inlineStr">
        <is>
          <t xml:space="preserve">View profile</t>
        </is>
      </c>
      <c r="H56" s="19" t="inlineStr">
        <is>
          <t xml:space="preserve">Antwerpen</t>
        </is>
      </c>
      <c r="I56" s="19" t="inlineStr">
        <is>
          <t xml:space="preserve">Belgium</t>
        </is>
      </c>
      <c r="J56" s="20" t="inlineStr">
        <is>
          <t xml:space="preserve">strada-partners.com</t>
        </is>
      </c>
      <c r="K56" s="23" t="inlineStr">
        <is>
          <t xml:space="preserve">To contact</t>
        </is>
      </c>
      <c r="L56" s="24"/>
      <c r="M56" s="18"/>
    </row>
    <row r="57" ht="21" customHeight="1">
      <c r="A57" s="6">
        <v>53</v>
      </c>
      <c r="B57" s="7" t="inlineStr">
        <is>
          <t xml:space="preserve">Julie Lauwers</t>
        </is>
      </c>
      <c r="C57" s="8" t="inlineStr">
        <is>
          <t xml:space="preserve">Investment Director</t>
        </is>
      </c>
      <c r="D57" s="9" t="inlineStr">
        <is>
          <t xml:space="preserve">Syus</t>
        </is>
      </c>
      <c r="E57" s="25" t="inlineStr">
        <is>
          <t xml:space="preserve">Senior</t>
        </is>
      </c>
      <c r="F57" s="11" t="inlineStr">
        <is>
          <t xml:space="preserve">julie.lauwers@syus.be</t>
        </is>
      </c>
      <c r="G57" s="12" t="inlineStr">
        <is>
          <t xml:space="preserve">View profile</t>
        </is>
      </c>
      <c r="H57" s="9" t="inlineStr">
        <is>
          <t xml:space="preserve">Rekkem</t>
        </is>
      </c>
      <c r="I57" s="9" t="inlineStr">
        <is>
          <t xml:space="preserve">Belgium</t>
        </is>
      </c>
      <c r="J57" s="11" t="inlineStr">
        <is>
          <t xml:space="preserve">syus.be</t>
        </is>
      </c>
      <c r="K57" s="14" t="inlineStr">
        <is>
          <t xml:space="preserve">To contact</t>
        </is>
      </c>
      <c r="L57" s="15"/>
      <c r="M57" s="8"/>
    </row>
    <row r="58" ht="21" customHeight="1">
      <c r="A58" s="16">
        <v>54</v>
      </c>
      <c r="B58" s="17" t="inlineStr">
        <is>
          <t xml:space="preserve">Petr Tmej</t>
        </is>
      </c>
      <c r="C58" s="18" t="inlineStr">
        <is>
          <t xml:space="preserve">Investment Analyst</t>
        </is>
      </c>
      <c r="D58" s="19" t="inlineStr">
        <is>
          <t xml:space="preserve">Comfort Zone Investments a.s.</t>
        </is>
      </c>
      <c r="E58" s="26" t="inlineStr">
        <is>
          <t xml:space="preserve">Investment team</t>
        </is>
      </c>
      <c r="F58" s="27" t="inlineStr">
        <is>
          <t xml:space="preserve">reach via LinkedIn</t>
        </is>
      </c>
      <c r="G58" s="21" t="inlineStr">
        <is>
          <t xml:space="preserve">View profile</t>
        </is>
      </c>
      <c r="H58" s="19" t="inlineStr">
        <is>
          <t xml:space="preserve">Nove Straseci</t>
        </is>
      </c>
      <c r="I58" s="19" t="inlineStr">
        <is>
          <t xml:space="preserve">Czech Republic</t>
        </is>
      </c>
      <c r="J58" s="22"/>
      <c r="K58" s="23" t="inlineStr">
        <is>
          <t xml:space="preserve">To contact</t>
        </is>
      </c>
      <c r="L58" s="24"/>
      <c r="M58" s="18"/>
    </row>
    <row r="59" ht="21" customHeight="1">
      <c r="A59" s="6">
        <v>55</v>
      </c>
      <c r="B59" s="7" t="inlineStr">
        <is>
          <t xml:space="preserve">Harald Klien</t>
        </is>
      </c>
      <c r="C59" s="8" t="inlineStr">
        <is>
          <t xml:space="preserve">Chief Executive Officer</t>
        </is>
      </c>
      <c r="D59" s="9" t="inlineStr">
        <is>
          <t xml:space="preserve">Cd Invest Consult Gmbh</t>
        </is>
      </c>
      <c r="E59" s="10" t="inlineStr">
        <is>
          <t xml:space="preserve">Decision maker</t>
        </is>
      </c>
      <c r="F59" s="11" t="inlineStr">
        <is>
          <t xml:space="preserve">harald.klien@cdiconsult.com</t>
        </is>
      </c>
      <c r="G59" s="12" t="inlineStr">
        <is>
          <t xml:space="preserve">View profile</t>
        </is>
      </c>
      <c r="H59" s="9" t="inlineStr">
        <is>
          <t xml:space="preserve">Wien</t>
        </is>
      </c>
      <c r="I59" s="9" t="inlineStr">
        <is>
          <t xml:space="preserve">Austria</t>
        </is>
      </c>
      <c r="J59" s="13"/>
      <c r="K59" s="14" t="inlineStr">
        <is>
          <t xml:space="preserve">To contact</t>
        </is>
      </c>
      <c r="L59" s="15"/>
      <c r="M59" s="8"/>
    </row>
    <row r="60" ht="21" customHeight="1">
      <c r="A60" s="16">
        <v>56</v>
      </c>
      <c r="B60" s="17" t="inlineStr">
        <is>
          <t xml:space="preserve">Daniel Gillet</t>
        </is>
      </c>
      <c r="C60" s="18" t="inlineStr">
        <is>
          <t xml:space="preserve">Managing Partner Benelux</t>
        </is>
      </c>
      <c r="D60" s="19" t="inlineStr">
        <is>
          <t xml:space="preserve">Onetoone Corporate Finance</t>
        </is>
      </c>
      <c r="E60" s="10" t="inlineStr">
        <is>
          <t xml:space="preserve">Decision maker</t>
        </is>
      </c>
      <c r="F60" s="20" t="inlineStr">
        <is>
          <t xml:space="preserve">daniel.gillet@onetoonecf.com</t>
        </is>
      </c>
      <c r="G60" s="21" t="inlineStr">
        <is>
          <t xml:space="preserve">View profile</t>
        </is>
      </c>
      <c r="H60" s="19" t="inlineStr">
        <is>
          <t xml:space="preserve">Bruxelles</t>
        </is>
      </c>
      <c r="I60" s="19" t="inlineStr">
        <is>
          <t xml:space="preserve">Belgium</t>
        </is>
      </c>
      <c r="J60" s="22"/>
      <c r="K60" s="23" t="inlineStr">
        <is>
          <t xml:space="preserve">To contact</t>
        </is>
      </c>
      <c r="L60" s="24"/>
      <c r="M60" s="18"/>
    </row>
    <row r="61" ht="21" customHeight="1">
      <c r="A61" s="6">
        <v>57</v>
      </c>
      <c r="B61" s="7" t="inlineStr">
        <is>
          <t xml:space="preserve">Colette Plasman</t>
        </is>
      </c>
      <c r="C61" s="8" t="inlineStr">
        <is>
          <t xml:space="preserve">Co-Founder</t>
        </is>
      </c>
      <c r="D61" s="9" t="inlineStr">
        <is>
          <t xml:space="preserve">E-Spring Capital</t>
        </is>
      </c>
      <c r="E61" s="10" t="inlineStr">
        <is>
          <t xml:space="preserve">Decision maker</t>
        </is>
      </c>
      <c r="F61" s="11" t="inlineStr">
        <is>
          <t xml:space="preserve">colette@espringcapital.eu</t>
        </is>
      </c>
      <c r="G61" s="12" t="inlineStr">
        <is>
          <t xml:space="preserve">View profile</t>
        </is>
      </c>
      <c r="H61" s="9" t="inlineStr">
        <is>
          <t xml:space="preserve">Deurne</t>
        </is>
      </c>
      <c r="I61" s="9" t="inlineStr">
        <is>
          <t xml:space="preserve">Belgium</t>
        </is>
      </c>
      <c r="J61" s="11" t="inlineStr">
        <is>
          <t xml:space="preserve">espringcapital.eu</t>
        </is>
      </c>
      <c r="K61" s="14" t="inlineStr">
        <is>
          <t xml:space="preserve">To contact</t>
        </is>
      </c>
      <c r="L61" s="15"/>
      <c r="M61" s="8"/>
    </row>
    <row r="62" ht="21" customHeight="1">
      <c r="A62" s="16">
        <v>58</v>
      </c>
      <c r="B62" s="17" t="inlineStr">
        <is>
          <t xml:space="preserve">Bart Wouters</t>
        </is>
      </c>
      <c r="C62" s="18" t="inlineStr">
        <is>
          <t xml:space="preserve">Founder &amp; Managing Partner</t>
        </is>
      </c>
      <c r="D62" s="19" t="inlineStr">
        <is>
          <t xml:space="preserve">Strada Partners</t>
        </is>
      </c>
      <c r="E62" s="10" t="inlineStr">
        <is>
          <t xml:space="preserve">Decision maker</t>
        </is>
      </c>
      <c r="F62" s="20" t="inlineStr">
        <is>
          <t xml:space="preserve">bart.wouters@strada-partners.com</t>
        </is>
      </c>
      <c r="G62" s="21" t="inlineStr">
        <is>
          <t xml:space="preserve">View profile</t>
        </is>
      </c>
      <c r="H62" s="19" t="inlineStr">
        <is>
          <t xml:space="preserve">Antwerpen</t>
        </is>
      </c>
      <c r="I62" s="19" t="inlineStr">
        <is>
          <t xml:space="preserve">Belgium</t>
        </is>
      </c>
      <c r="J62" s="20" t="inlineStr">
        <is>
          <t xml:space="preserve">strada-partners.com</t>
        </is>
      </c>
      <c r="K62" s="23" t="inlineStr">
        <is>
          <t xml:space="preserve">To contact</t>
        </is>
      </c>
      <c r="L62" s="24"/>
      <c r="M62" s="18"/>
    </row>
    <row r="63" ht="21" customHeight="1">
      <c r="A63" s="6">
        <v>59</v>
      </c>
      <c r="B63" s="7" t="inlineStr">
        <is>
          <t xml:space="preserve">Julie Lauwers</t>
        </is>
      </c>
      <c r="C63" s="8" t="inlineStr">
        <is>
          <t xml:space="preserve">Investment Director</t>
        </is>
      </c>
      <c r="D63" s="9" t="inlineStr">
        <is>
          <t xml:space="preserve">Syus</t>
        </is>
      </c>
      <c r="E63" s="25" t="inlineStr">
        <is>
          <t xml:space="preserve">Senior</t>
        </is>
      </c>
      <c r="F63" s="11" t="inlineStr">
        <is>
          <t xml:space="preserve">julie.lauwers@syus.be</t>
        </is>
      </c>
      <c r="G63" s="12" t="inlineStr">
        <is>
          <t xml:space="preserve">View profile</t>
        </is>
      </c>
      <c r="H63" s="9" t="inlineStr">
        <is>
          <t xml:space="preserve">Rekkem</t>
        </is>
      </c>
      <c r="I63" s="9" t="inlineStr">
        <is>
          <t xml:space="preserve">Belgium</t>
        </is>
      </c>
      <c r="J63" s="11" t="inlineStr">
        <is>
          <t xml:space="preserve">syus.be</t>
        </is>
      </c>
      <c r="K63" s="14" t="inlineStr">
        <is>
          <t xml:space="preserve">To contact</t>
        </is>
      </c>
      <c r="L63" s="15"/>
      <c r="M63" s="8"/>
    </row>
    <row r="64" ht="21" customHeight="1">
      <c r="A64" s="16">
        <v>60</v>
      </c>
      <c r="B64" s="17" t="inlineStr">
        <is>
          <t xml:space="preserve">Petr Tmej</t>
        </is>
      </c>
      <c r="C64" s="18" t="inlineStr">
        <is>
          <t xml:space="preserve">Investment Analyst</t>
        </is>
      </c>
      <c r="D64" s="19" t="inlineStr">
        <is>
          <t xml:space="preserve">Comfort Zone Investments a.s.</t>
        </is>
      </c>
      <c r="E64" s="26" t="inlineStr">
        <is>
          <t xml:space="preserve">Investment team</t>
        </is>
      </c>
      <c r="F64" s="27" t="inlineStr">
        <is>
          <t xml:space="preserve">reach via LinkedIn</t>
        </is>
      </c>
      <c r="G64" s="21" t="inlineStr">
        <is>
          <t xml:space="preserve">View profile</t>
        </is>
      </c>
      <c r="H64" s="19" t="inlineStr">
        <is>
          <t xml:space="preserve">Nove Straseci</t>
        </is>
      </c>
      <c r="I64" s="19" t="inlineStr">
        <is>
          <t xml:space="preserve">Czech Republic</t>
        </is>
      </c>
      <c r="J64" s="22"/>
      <c r="K64" s="23" t="inlineStr">
        <is>
          <t xml:space="preserve">To contact</t>
        </is>
      </c>
      <c r="L64" s="24"/>
      <c r="M64" s="18"/>
    </row>
    <row r="65" ht="21" customHeight="1">
      <c r="A65" s="6">
        <v>61</v>
      </c>
      <c r="B65" s="7" t="inlineStr">
        <is>
          <t xml:space="preserve">Marnix van de Weijer</t>
        </is>
      </c>
      <c r="C65" s="8" t="inlineStr">
        <is>
          <t xml:space="preserve">Senior Investment Manager</t>
        </is>
      </c>
      <c r="D65" s="9" t="inlineStr">
        <is>
          <t xml:space="preserve">Navitas Capital</t>
        </is>
      </c>
      <c r="E65" s="26" t="inlineStr">
        <is>
          <t xml:space="preserve">Investment team</t>
        </is>
      </c>
      <c r="F65" s="9"/>
      <c r="G65" s="28"/>
      <c r="H65" s="9" t="inlineStr">
        <is>
          <t xml:space="preserve">Alphen aan den Rijn</t>
        </is>
      </c>
      <c r="I65" s="9" t="inlineStr">
        <is>
          <t xml:space="preserve">Netherlands</t>
        </is>
      </c>
      <c r="J65" s="13"/>
      <c r="K65" s="14" t="inlineStr">
        <is>
          <t xml:space="preserve">To contact</t>
        </is>
      </c>
      <c r="L65" s="15"/>
      <c r="M65" s="8"/>
    </row>
    <row r="66" ht="21" customHeight="1">
      <c r="A66" s="16">
        <v>62</v>
      </c>
      <c r="B66" s="17" t="inlineStr">
        <is>
          <t xml:space="preserve">luis Aranguren</t>
        </is>
      </c>
      <c r="C66" s="18"/>
      <c r="D66" s="19" t="inlineStr">
        <is>
          <t xml:space="preserve">Family Office</t>
        </is>
      </c>
      <c r="E66" s="29"/>
      <c r="F66" s="19"/>
      <c r="G66" s="30"/>
      <c r="H66" s="19"/>
      <c r="I66" s="19" t="inlineStr">
        <is>
          <t xml:space="preserve">Spain</t>
        </is>
      </c>
      <c r="J66" s="22"/>
      <c r="K66" s="23" t="inlineStr">
        <is>
          <t xml:space="preserve">To contact</t>
        </is>
      </c>
      <c r="L66" s="24"/>
      <c r="M66" s="18"/>
    </row>
  </sheetData>
  <autoFilter ref="A4:M66"/>
  <mergeCells count="2">
    <mergeCell ref="A1:M1"/>
    <mergeCell ref="A2:M2"/>
  </mergeCells>
  <conditionalFormatting sqref="K5:K66">
    <cfRule type="cellIs" dxfId="0" priority="1" operator="equal">
      <formula>"To contact"</formula>
    </cfRule>
    <cfRule type="cellIs" dxfId="1" priority="2" operator="equal">
      <formula>"Researching"</formula>
    </cfRule>
    <cfRule type="cellIs" dxfId="2" priority="3" operator="equal">
      <formula>"Emailed"</formula>
    </cfRule>
    <cfRule type="cellIs" dxfId="3" priority="4" operator="equal">
      <formula>"Followed up"</formula>
    </cfRule>
    <cfRule type="cellIs" dxfId="4" priority="5" operator="equal">
      <formula>"Replied"</formula>
    </cfRule>
    <cfRule type="cellIs" dxfId="5" priority="6" operator="equal">
      <formula>"Meeting booked"</formula>
    </cfRule>
    <cfRule type="cellIs" dxfId="6" priority="7" operator="equal">
      <formula>"In diligence"</formula>
    </cfRule>
    <cfRule type="cellIs" dxfId="7" priority="8" operator="equal">
      <formula>"Passed"</formula>
    </cfRule>
    <cfRule type="cellIs" dxfId="8" priority="9" operator="equal">
      <formula>"Not a fit"</formula>
    </cfRule>
  </conditionalFormatting>
  <conditionalFormatting sqref="B5:M66">
    <cfRule type="expression" dxfId="9" priority="10">
      <formula>OR($K5="Meeting booked",$K5="In diligence")</formula>
    </cfRule>
  </conditionalFormatting>
  <dataValidations count="2">
    <dataValidation type="list" allowBlank="1" showInputMessage="1" showErrorMessage="1" errorTitle="Pick a status" error="Choose one of the options in the list." promptTitle="Status" prompt="Track where you are with this investor." sqref="K5:K66">
      <formula1>"To contact,Researching,Emailed,Followed up,Replied,Meeting booked,In diligence,Passed,Not a fit"</formula1>
    </dataValidation>
    <dataValidation type="date" operator="greaterThan" allowBlank="1" showInputMessage="1" showErrorMessage="1" errorTitle="Date" error="Type a date, for example 3 Nov 2026." promptTitle="Last touch" prompt="Date of your last email, call or meeting." sqref="L5:L66">
      <formula1>36526</formula1>
    </dataValidation>
  </dataValidations>
  <hyperlinks>
    <hyperlink ref="F5" r:id="rId1" tooltip="Email Harald Klien"/>
    <hyperlink ref="G5" r:id="rId2" tooltip="Open LinkedIn profile"/>
    <hyperlink ref="F6" r:id="rId3" tooltip="Email Daniel Gillet"/>
    <hyperlink ref="G6" r:id="rId4" tooltip="Open LinkedIn profile"/>
    <hyperlink ref="F7" r:id="rId5" tooltip="Email Colette Plasman"/>
    <hyperlink ref="G7" r:id="rId6" tooltip="Open LinkedIn profile"/>
    <hyperlink ref="J7" r:id="rId7" tooltip="Open website"/>
    <hyperlink ref="F8" r:id="rId8" tooltip="Email Bart Wouters"/>
    <hyperlink ref="G8" r:id="rId9" tooltip="Open LinkedIn profile"/>
    <hyperlink ref="J8" r:id="rId10" tooltip="Open website"/>
    <hyperlink ref="F9" r:id="rId11" tooltip="Email Julie Lauwers"/>
    <hyperlink ref="G9" r:id="rId12" tooltip="Open LinkedIn profile"/>
    <hyperlink ref="J9" r:id="rId13" tooltip="Open website"/>
    <hyperlink ref="G10" r:id="rId14" tooltip="Open LinkedIn profile"/>
    <hyperlink ref="F11" r:id="rId15" tooltip="Email Harald Klien"/>
    <hyperlink ref="G11" r:id="rId16" tooltip="Open LinkedIn profile"/>
    <hyperlink ref="F12" r:id="rId17" tooltip="Email Daniel Gillet"/>
    <hyperlink ref="G12" r:id="rId18" tooltip="Open LinkedIn profile"/>
    <hyperlink ref="F13" r:id="rId19" tooltip="Email Colette Plasman"/>
    <hyperlink ref="G13" r:id="rId20" tooltip="Open LinkedIn profile"/>
    <hyperlink ref="J13" r:id="rId21" tooltip="Open website"/>
    <hyperlink ref="F14" r:id="rId22" tooltip="Email Bart Wouters"/>
    <hyperlink ref="G14" r:id="rId23" tooltip="Open LinkedIn profile"/>
    <hyperlink ref="J14" r:id="rId24" tooltip="Open website"/>
    <hyperlink ref="F15" r:id="rId25" tooltip="Email Julie Lauwers"/>
    <hyperlink ref="G15" r:id="rId26" tooltip="Open LinkedIn profile"/>
    <hyperlink ref="J15" r:id="rId27" tooltip="Open website"/>
    <hyperlink ref="G16" r:id="rId28" tooltip="Open LinkedIn profile"/>
    <hyperlink ref="F17" r:id="rId29" tooltip="Email Harald Klien"/>
    <hyperlink ref="G17" r:id="rId30" tooltip="Open LinkedIn profile"/>
    <hyperlink ref="F18" r:id="rId31" tooltip="Email Daniel Gillet"/>
    <hyperlink ref="G18" r:id="rId32" tooltip="Open LinkedIn profile"/>
    <hyperlink ref="F19" r:id="rId33" tooltip="Email Colette Plasman"/>
    <hyperlink ref="G19" r:id="rId34" tooltip="Open LinkedIn profile"/>
    <hyperlink ref="J19" r:id="rId35" tooltip="Open website"/>
    <hyperlink ref="F20" r:id="rId36" tooltip="Email Bart Wouters"/>
    <hyperlink ref="G20" r:id="rId37" tooltip="Open LinkedIn profile"/>
    <hyperlink ref="J20" r:id="rId38" tooltip="Open website"/>
    <hyperlink ref="F21" r:id="rId39" tooltip="Email Julie Lauwers"/>
    <hyperlink ref="G21" r:id="rId40" tooltip="Open LinkedIn profile"/>
    <hyperlink ref="J21" r:id="rId41" tooltip="Open website"/>
    <hyperlink ref="G22" r:id="rId42" tooltip="Open LinkedIn profile"/>
    <hyperlink ref="F23" r:id="rId43" tooltip="Email Harald Klien"/>
    <hyperlink ref="G23" r:id="rId44" tooltip="Open LinkedIn profile"/>
    <hyperlink ref="F24" r:id="rId45" tooltip="Email Daniel Gillet"/>
    <hyperlink ref="G24" r:id="rId46" tooltip="Open LinkedIn profile"/>
    <hyperlink ref="F25" r:id="rId47" tooltip="Email Colette Plasman"/>
    <hyperlink ref="G25" r:id="rId48" tooltip="Open LinkedIn profile"/>
    <hyperlink ref="J25" r:id="rId49" tooltip="Open website"/>
    <hyperlink ref="F26" r:id="rId50" tooltip="Email Bart Wouters"/>
    <hyperlink ref="G26" r:id="rId51" tooltip="Open LinkedIn profile"/>
    <hyperlink ref="J26" r:id="rId52" tooltip="Open website"/>
    <hyperlink ref="F27" r:id="rId53" tooltip="Email Julie Lauwers"/>
    <hyperlink ref="G27" r:id="rId54" tooltip="Open LinkedIn profile"/>
    <hyperlink ref="J27" r:id="rId55" tooltip="Open website"/>
    <hyperlink ref="G28" r:id="rId56" tooltip="Open LinkedIn profile"/>
    <hyperlink ref="F29" r:id="rId57" tooltip="Email Harald Klien"/>
    <hyperlink ref="G29" r:id="rId58" tooltip="Open LinkedIn profile"/>
    <hyperlink ref="F30" r:id="rId59" tooltip="Email Daniel Gillet"/>
    <hyperlink ref="G30" r:id="rId60" tooltip="Open LinkedIn profile"/>
    <hyperlink ref="F31" r:id="rId61" tooltip="Email Colette Plasman"/>
    <hyperlink ref="G31" r:id="rId62" tooltip="Open LinkedIn profile"/>
    <hyperlink ref="J31" r:id="rId63" tooltip="Open website"/>
    <hyperlink ref="F32" r:id="rId64" tooltip="Email Bart Wouters"/>
    <hyperlink ref="G32" r:id="rId65" tooltip="Open LinkedIn profile"/>
    <hyperlink ref="J32" r:id="rId66" tooltip="Open website"/>
    <hyperlink ref="F33" r:id="rId67" tooltip="Email Julie Lauwers"/>
    <hyperlink ref="G33" r:id="rId68" tooltip="Open LinkedIn profile"/>
    <hyperlink ref="J33" r:id="rId69" tooltip="Open website"/>
    <hyperlink ref="G34" r:id="rId70" tooltip="Open LinkedIn profile"/>
    <hyperlink ref="F35" r:id="rId71" tooltip="Email Harald Klien"/>
    <hyperlink ref="G35" r:id="rId72" tooltip="Open LinkedIn profile"/>
    <hyperlink ref="F36" r:id="rId73" tooltip="Email Daniel Gillet"/>
    <hyperlink ref="G36" r:id="rId74" tooltip="Open LinkedIn profile"/>
    <hyperlink ref="F37" r:id="rId75" tooltip="Email Colette Plasman"/>
    <hyperlink ref="G37" r:id="rId76" tooltip="Open LinkedIn profile"/>
    <hyperlink ref="J37" r:id="rId77" tooltip="Open website"/>
    <hyperlink ref="F38" r:id="rId78" tooltip="Email Bart Wouters"/>
    <hyperlink ref="G38" r:id="rId79" tooltip="Open LinkedIn profile"/>
    <hyperlink ref="J38" r:id="rId80" tooltip="Open website"/>
    <hyperlink ref="F39" r:id="rId81" tooltip="Email Julie Lauwers"/>
    <hyperlink ref="G39" r:id="rId82" tooltip="Open LinkedIn profile"/>
    <hyperlink ref="J39" r:id="rId83" tooltip="Open website"/>
    <hyperlink ref="G40" r:id="rId84" tooltip="Open LinkedIn profile"/>
    <hyperlink ref="F41" r:id="rId85" tooltip="Email Harald Klien"/>
    <hyperlink ref="G41" r:id="rId86" tooltip="Open LinkedIn profile"/>
    <hyperlink ref="F42" r:id="rId87" tooltip="Email Daniel Gillet"/>
    <hyperlink ref="G42" r:id="rId88" tooltip="Open LinkedIn profile"/>
    <hyperlink ref="F43" r:id="rId89" tooltip="Email Colette Plasman"/>
    <hyperlink ref="G43" r:id="rId90" tooltip="Open LinkedIn profile"/>
    <hyperlink ref="J43" r:id="rId91" tooltip="Open website"/>
    <hyperlink ref="F44" r:id="rId92" tooltip="Email Bart Wouters"/>
    <hyperlink ref="G44" r:id="rId93" tooltip="Open LinkedIn profile"/>
    <hyperlink ref="J44" r:id="rId94" tooltip="Open website"/>
    <hyperlink ref="F45" r:id="rId95" tooltip="Email Julie Lauwers"/>
    <hyperlink ref="G45" r:id="rId96" tooltip="Open LinkedIn profile"/>
    <hyperlink ref="J45" r:id="rId97" tooltip="Open website"/>
    <hyperlink ref="G46" r:id="rId98" tooltip="Open LinkedIn profile"/>
    <hyperlink ref="F47" r:id="rId99" tooltip="Email Harald Klien"/>
    <hyperlink ref="G47" r:id="rId100" tooltip="Open LinkedIn profile"/>
    <hyperlink ref="F48" r:id="rId101" tooltip="Email Daniel Gillet"/>
    <hyperlink ref="G48" r:id="rId102" tooltip="Open LinkedIn profile"/>
    <hyperlink ref="F49" r:id="rId103" tooltip="Email Colette Plasman"/>
    <hyperlink ref="G49" r:id="rId104" tooltip="Open LinkedIn profile"/>
    <hyperlink ref="J49" r:id="rId105" tooltip="Open website"/>
    <hyperlink ref="F50" r:id="rId106" tooltip="Email Bart Wouters"/>
    <hyperlink ref="G50" r:id="rId107" tooltip="Open LinkedIn profile"/>
    <hyperlink ref="J50" r:id="rId108" tooltip="Open website"/>
    <hyperlink ref="F51" r:id="rId109" tooltip="Email Julie Lauwers"/>
    <hyperlink ref="G51" r:id="rId110" tooltip="Open LinkedIn profile"/>
    <hyperlink ref="J51" r:id="rId111" tooltip="Open website"/>
    <hyperlink ref="G52" r:id="rId112" tooltip="Open LinkedIn profile"/>
    <hyperlink ref="F53" r:id="rId113" tooltip="Email Harald Klien"/>
    <hyperlink ref="G53" r:id="rId114" tooltip="Open LinkedIn profile"/>
    <hyperlink ref="F54" r:id="rId115" tooltip="Email Daniel Gillet"/>
    <hyperlink ref="G54" r:id="rId116" tooltip="Open LinkedIn profile"/>
    <hyperlink ref="F55" r:id="rId117" tooltip="Email Colette Plasman"/>
    <hyperlink ref="G55" r:id="rId118" tooltip="Open LinkedIn profile"/>
    <hyperlink ref="J55" r:id="rId119" tooltip="Open website"/>
    <hyperlink ref="F56" r:id="rId120" tooltip="Email Bart Wouters"/>
    <hyperlink ref="G56" r:id="rId121" tooltip="Open LinkedIn profile"/>
    <hyperlink ref="J56" r:id="rId122" tooltip="Open website"/>
    <hyperlink ref="F57" r:id="rId123" tooltip="Email Julie Lauwers"/>
    <hyperlink ref="G57" r:id="rId124" tooltip="Open LinkedIn profile"/>
    <hyperlink ref="J57" r:id="rId125" tooltip="Open website"/>
    <hyperlink ref="G58" r:id="rId126" tooltip="Open LinkedIn profile"/>
    <hyperlink ref="F59" r:id="rId127" tooltip="Email Harald Klien"/>
    <hyperlink ref="G59" r:id="rId128" tooltip="Open LinkedIn profile"/>
    <hyperlink ref="F60" r:id="rId129" tooltip="Email Daniel Gillet"/>
    <hyperlink ref="G60" r:id="rId130" tooltip="Open LinkedIn profile"/>
    <hyperlink ref="F61" r:id="rId131" tooltip="Email Colette Plasman"/>
    <hyperlink ref="G61" r:id="rId132" tooltip="Open LinkedIn profile"/>
    <hyperlink ref="J61" r:id="rId133" tooltip="Open website"/>
    <hyperlink ref="F62" r:id="rId134" tooltip="Email Bart Wouters"/>
    <hyperlink ref="G62" r:id="rId135" tooltip="Open LinkedIn profile"/>
    <hyperlink ref="J62" r:id="rId136" tooltip="Open website"/>
    <hyperlink ref="F63" r:id="rId137" tooltip="Email Julie Lauwers"/>
    <hyperlink ref="G63" r:id="rId138" tooltip="Open LinkedIn profile"/>
    <hyperlink ref="J63" r:id="rId139" tooltip="Open website"/>
    <hyperlink ref="G64" r:id="rId140" tooltip="Open LinkedIn profile"/>
  </hyperlinks>
  <pageMargins left="0.4" right="0.4" top="0.5" bottom="0.5" header="0.3" footer="0.3"/>
  <pageSetup orientation="landscape" fitToWidth="1" fitToHeight="0"/>
  <headerFooter>
    <oddFooter>&amp;L&amp;8Climate Insiders Investor Lists&amp;R&amp;8Page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14632D"/>
    <pageSetUpPr fitToPage="1"/>
  </sheetPr>
  <dimension ref="A1:E23"/>
  <sheetViews>
    <sheetView workbookViewId="0" showGridLines="0" zoomScale="110" zoomScaleNormal="110"/>
  </sheetViews>
  <sheetFormatPr defaultRowHeight="15"/>
  <cols>
    <col min="1" max="1" width="3" customWidth="1"/>
    <col min="2" max="2" width="24" customWidth="1"/>
    <col min="3" max="3" width="12" customWidth="1"/>
    <col min="4" max="4" width="12" customWidth="1"/>
    <col min="5" max="5" width="40" customWidth="1"/>
    <col min="6" max="6" width="3" customWidth="1"/>
  </cols>
  <sheetData>
    <row r="2" ht="34" customHeight="1">
      <c r="B2" s="31" t="inlineStr">
        <is>
          <t xml:space="preserve">Your pipeline</t>
        </is>
      </c>
    </row>
    <row r="3">
      <c r="B3" s="32" t="inlineStr">
        <is>
          <t xml:space="preserve">Updates itself from the Status column in the Europe tab.</t>
        </is>
      </c>
    </row>
    <row r="5" ht="24" customHeight="1">
      <c r="B5" s="33" t="inlineStr">
        <is>
          <t xml:space="preserve">Status</t>
        </is>
      </c>
      <c r="C5" s="34" t="inlineStr">
        <is>
          <t xml:space="preserve">Count</t>
        </is>
      </c>
      <c r="D5" s="34" t="inlineStr">
        <is>
          <t xml:space="preserve">Share</t>
        </is>
      </c>
      <c r="E5" s="33"/>
    </row>
    <row r="6" ht="22" customHeight="1">
      <c r="B6" s="35" t="inlineStr">
        <is>
          <t xml:space="preserve">To contact</t>
        </is>
      </c>
      <c r="C6" s="36">
        <f>COUNTIF('Europe'!$K$5:$K$66,"To contact")</f>
      </c>
      <c r="D6" s="37">
        <f>IFERROR(C6/SUM($C$6:$C$14),0)</f>
      </c>
      <c r="E6" s="38">
        <f>C6</f>
      </c>
    </row>
    <row r="7" ht="22" customHeight="1">
      <c r="B7" s="39" t="inlineStr">
        <is>
          <t xml:space="preserve">Researching</t>
        </is>
      </c>
      <c r="C7" s="36">
        <f>COUNTIF('Europe'!$K$5:$K$66,"Researching")</f>
      </c>
      <c r="D7" s="37">
        <f>IFERROR(C7/SUM($C$6:$C$14),0)</f>
      </c>
      <c r="E7" s="38">
        <f>C7</f>
      </c>
    </row>
    <row r="8" ht="22" customHeight="1">
      <c r="B8" s="40" t="inlineStr">
        <is>
          <t xml:space="preserve">Emailed</t>
        </is>
      </c>
      <c r="C8" s="36">
        <f>COUNTIF('Europe'!$K$5:$K$66,"Emailed")</f>
      </c>
      <c r="D8" s="37">
        <f>IFERROR(C8/SUM($C$6:$C$14),0)</f>
      </c>
      <c r="E8" s="38">
        <f>C8</f>
      </c>
    </row>
    <row r="9" ht="22" customHeight="1">
      <c r="B9" s="41" t="inlineStr">
        <is>
          <t xml:space="preserve">Followed up</t>
        </is>
      </c>
      <c r="C9" s="36">
        <f>COUNTIF('Europe'!$K$5:$K$66,"Followed up")</f>
      </c>
      <c r="D9" s="37">
        <f>IFERROR(C9/SUM($C$6:$C$14),0)</f>
      </c>
      <c r="E9" s="38">
        <f>C9</f>
      </c>
    </row>
    <row r="10" ht="22" customHeight="1">
      <c r="B10" s="42" t="inlineStr">
        <is>
          <t xml:space="preserve">Replied</t>
        </is>
      </c>
      <c r="C10" s="36">
        <f>COUNTIF('Europe'!$K$5:$K$66,"Replied")</f>
      </c>
      <c r="D10" s="37">
        <f>IFERROR(C10/SUM($C$6:$C$14),0)</f>
      </c>
      <c r="E10" s="38">
        <f>C10</f>
      </c>
    </row>
    <row r="11" ht="22" customHeight="1">
      <c r="B11" s="43" t="inlineStr">
        <is>
          <t xml:space="preserve">Meeting booked</t>
        </is>
      </c>
      <c r="C11" s="36">
        <f>COUNTIF('Europe'!$K$5:$K$66,"Meeting booked")</f>
      </c>
      <c r="D11" s="37">
        <f>IFERROR(C11/SUM($C$6:$C$14),0)</f>
      </c>
      <c r="E11" s="38">
        <f>C11</f>
      </c>
    </row>
    <row r="12" ht="22" customHeight="1">
      <c r="B12" s="44" t="inlineStr">
        <is>
          <t xml:space="preserve">In diligence</t>
        </is>
      </c>
      <c r="C12" s="36">
        <f>COUNTIF('Europe'!$K$5:$K$66,"In diligence")</f>
      </c>
      <c r="D12" s="37">
        <f>IFERROR(C12/SUM($C$6:$C$14),0)</f>
      </c>
      <c r="E12" s="38">
        <f>C12</f>
      </c>
    </row>
    <row r="13" ht="22" customHeight="1">
      <c r="B13" s="45" t="inlineStr">
        <is>
          <t xml:space="preserve">Passed</t>
        </is>
      </c>
      <c r="C13" s="36">
        <f>COUNTIF('Europe'!$K$5:$K$66,"Passed")</f>
      </c>
      <c r="D13" s="37">
        <f>IFERROR(C13/SUM($C$6:$C$14),0)</f>
      </c>
      <c r="E13" s="38">
        <f>C13</f>
      </c>
    </row>
    <row r="14" ht="22" customHeight="1">
      <c r="B14" s="46" t="inlineStr">
        <is>
          <t xml:space="preserve">Not a fit</t>
        </is>
      </c>
      <c r="C14" s="36">
        <f>COUNTIF('Europe'!$K$5:$K$66,"Not a fit")</f>
      </c>
      <c r="D14" s="37">
        <f>IFERROR(C14/SUM($C$6:$C$14),0)</f>
      </c>
      <c r="E14" s="38">
        <f>C14</f>
      </c>
    </row>
    <row r="16" ht="26" customHeight="1">
      <c r="B16" s="47" t="inlineStr">
        <is>
          <t xml:space="preserve">Investors contacted</t>
        </is>
      </c>
      <c r="C16" s="49">
        <f>C8+C9+C10+C11+C12+C13</f>
      </c>
    </row>
    <row r="17" ht="26" customHeight="1">
      <c r="B17" s="47" t="inlineStr">
        <is>
          <t xml:space="preserve">Reply rate</t>
        </is>
      </c>
      <c r="C17" s="48">
        <f>IFERROR((C10+C11+C12+C13)/C16,0)</f>
      </c>
    </row>
    <row r="18" ht="26" customHeight="1">
      <c r="B18" s="47" t="inlineStr">
        <is>
          <t xml:space="preserve">Meetings</t>
        </is>
      </c>
      <c r="C18" s="49">
        <f>C11+C12</f>
      </c>
    </row>
    <row r="20" ht="24" customHeight="1">
      <c r="B20" s="33" t="inlineStr">
        <is>
          <t xml:space="preserve">Seniority</t>
        </is>
      </c>
      <c r="C20" s="34" t="inlineStr">
        <is>
          <t xml:space="preserve">Count</t>
        </is>
      </c>
      <c r="D20" s="34" t="inlineStr">
        <is>
          <t xml:space="preserve">Emailable</t>
        </is>
      </c>
      <c r="E20" s="33"/>
    </row>
    <row r="21" ht="22" customHeight="1">
      <c r="B21" s="50" t="inlineStr">
        <is>
          <t xml:space="preserve">Decision maker</t>
        </is>
      </c>
      <c r="C21" s="36">
        <f>COUNTIF('Europe'!$E$5:$E$66,"Decision maker")</f>
      </c>
      <c r="D21" s="51">
        <f>COUNTIFS('Europe'!$E$5:$E$66,"Decision maker",'Europe'!$F$5:$F$66,"*@*")</f>
      </c>
    </row>
    <row r="22" ht="22" customHeight="1">
      <c r="B22" s="52" t="inlineStr">
        <is>
          <t xml:space="preserve">Senior</t>
        </is>
      </c>
      <c r="C22" s="36">
        <f>COUNTIF('Europe'!$E$5:$E$66,"Senior")</f>
      </c>
      <c r="D22" s="51">
        <f>COUNTIFS('Europe'!$E$5:$E$66,"Senior",'Europe'!$F$5:$F$66,"*@*")</f>
      </c>
    </row>
    <row r="23" ht="22" customHeight="1">
      <c r="B23" s="53" t="inlineStr">
        <is>
          <t xml:space="preserve">Investment team</t>
        </is>
      </c>
      <c r="C23" s="36">
        <f>COUNTIF('Europe'!$E$5:$E$66,"Investment team")</f>
      </c>
      <c r="D23" s="51">
        <f>COUNTIFS('Europe'!$E$5:$E$66,"Investment team",'Europe'!$F$5:$F$66,"*@*")</f>
      </c>
    </row>
  </sheetData>
  <conditionalFormatting sqref="E6:E14">
    <cfRule type="dataBar" priority="1">
      <dataBar showValue="0" minLength="0" maxLength="100">
        <cfvo type="num" val="0"/>
        <cfvo type="max"/>
        <color rgb="FFFF7A1A"/>
      </dataBar>
    </cfRule>
  </conditionalFormatting>
  <pageMargins left="0.4" right="0.4" top="0.5" bottom="0.5" header="0.3" footer="0.3"/>
  <pageSetup orientation="portrait" fitToWidth="1" fitToHeight="0"/>
  <headerFooter>
    <oddFooter>&amp;L&amp;8Climate Insiders Investor Lists&amp;R&amp;8Page &amp;P of &amp;N</oddFooter>
  </headerFooter>
</worksheet>
</file>

<file path=docProps/app.xml><?xml version="1.0" encoding="utf-8"?>
<Properties xmlns="http://schemas.openxmlformats.org/officeDocument/2006/extended-properties">
  <Application>Microsoft Excel</Application>
  <Company>Climate Insiders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500 European family office contacts</dc:title>
  <dc:subject>Climate Insiders Investor Lists</dc:subject>
  <dc:creator>Yoann Berno, Climate Insiders</dc:creator>
  <cp:lastModifiedBy>Climate Insiders</cp:lastModifiedBy>
  <dcterms:created xsi:type="dcterms:W3CDTF">2026-10-27T18:43:10Z</dcterms:created>
  <dcterms:modified xsi:type="dcterms:W3CDTF">2026-10-27T18:43:10Z</dcterms:modified>
</cp:coreProperties>
</file>